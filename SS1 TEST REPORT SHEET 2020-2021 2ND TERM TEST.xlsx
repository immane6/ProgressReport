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KS\Dropbox\My PC (CHUKZ)\Documents\"/>
    </mc:Choice>
  </mc:AlternateContent>
  <bookViews>
    <workbookView xWindow="240" yWindow="90" windowWidth="12240" windowHeight="8520" activeTab="1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R15" i="3" l="1"/>
  <c r="Q15" i="3"/>
  <c r="R14" i="3"/>
  <c r="Q14" i="3"/>
  <c r="R13" i="3"/>
  <c r="Q13" i="3"/>
  <c r="R12" i="3"/>
  <c r="Q12" i="3"/>
  <c r="R11" i="3"/>
  <c r="Q11" i="3"/>
  <c r="R10" i="3"/>
  <c r="Q10" i="3"/>
  <c r="R9" i="3"/>
  <c r="Q9" i="3"/>
  <c r="R8" i="3"/>
  <c r="Q8" i="3"/>
  <c r="R7" i="3"/>
  <c r="Q7" i="3"/>
  <c r="R6" i="3"/>
  <c r="Q6" i="3"/>
  <c r="R5" i="3"/>
  <c r="Q5" i="3"/>
  <c r="R4" i="3"/>
  <c r="Q4" i="3"/>
  <c r="R3" i="3"/>
  <c r="Q3" i="3"/>
  <c r="R2" i="3"/>
  <c r="Q2" i="3"/>
  <c r="F17" i="2" l="1"/>
  <c r="F16" i="2"/>
  <c r="F14" i="2"/>
  <c r="G14" i="2" s="1"/>
  <c r="F13" i="2"/>
  <c r="G13" i="2" s="1"/>
  <c r="F12" i="2"/>
  <c r="F11" i="2"/>
  <c r="G11" i="2" s="1"/>
  <c r="F10" i="2"/>
  <c r="F9" i="2"/>
  <c r="F8" i="2"/>
  <c r="F7" i="2"/>
  <c r="F6" i="2"/>
  <c r="F5" i="2"/>
  <c r="F4" i="2"/>
  <c r="F15" i="2"/>
  <c r="G15" i="2" s="1"/>
  <c r="CH17" i="2"/>
  <c r="CI17" i="2" s="1"/>
  <c r="CH16" i="2"/>
  <c r="CI16" i="2" s="1"/>
  <c r="CH15" i="2"/>
  <c r="CI15" i="2" s="1"/>
  <c r="CH14" i="2"/>
  <c r="CI14" i="2" s="1"/>
  <c r="CH13" i="2"/>
  <c r="CI13" i="2" s="1"/>
  <c r="CH12" i="2"/>
  <c r="CI12" i="2" s="1"/>
  <c r="CH11" i="2"/>
  <c r="CI11" i="2" s="1"/>
  <c r="CC17" i="2"/>
  <c r="CD17" i="2" s="1"/>
  <c r="CC16" i="2"/>
  <c r="CD16" i="2" s="1"/>
  <c r="CC15" i="2"/>
  <c r="CD15" i="2" s="1"/>
  <c r="CC14" i="2"/>
  <c r="CD14" i="2" s="1"/>
  <c r="CC13" i="2"/>
  <c r="CD13" i="2" s="1"/>
  <c r="CC12" i="2"/>
  <c r="CD12" i="2" s="1"/>
  <c r="CC11" i="2"/>
  <c r="CD11" i="2" s="1"/>
  <c r="BX17" i="2"/>
  <c r="BY17" i="2" s="1"/>
  <c r="BX16" i="2"/>
  <c r="BY16" i="2" s="1"/>
  <c r="BX15" i="2"/>
  <c r="BY15" i="2" s="1"/>
  <c r="BX14" i="2"/>
  <c r="BY14" i="2" s="1"/>
  <c r="BX13" i="2"/>
  <c r="BY13" i="2" s="1"/>
  <c r="BX12" i="2"/>
  <c r="BY12" i="2" s="1"/>
  <c r="BX11" i="2"/>
  <c r="BY11" i="2" s="1"/>
  <c r="BS17" i="2"/>
  <c r="BT17" i="2" s="1"/>
  <c r="BS16" i="2"/>
  <c r="BT16" i="2" s="1"/>
  <c r="BS15" i="2"/>
  <c r="BT15" i="2" s="1"/>
  <c r="BS14" i="2"/>
  <c r="BT14" i="2" s="1"/>
  <c r="BS13" i="2"/>
  <c r="BT13" i="2" s="1"/>
  <c r="BS12" i="2"/>
  <c r="BT12" i="2" s="1"/>
  <c r="BS11" i="2"/>
  <c r="BT11" i="2" s="1"/>
  <c r="BN17" i="2"/>
  <c r="BO17" i="2" s="1"/>
  <c r="BN16" i="2"/>
  <c r="BO16" i="2" s="1"/>
  <c r="BN15" i="2"/>
  <c r="BO15" i="2" s="1"/>
  <c r="BN14" i="2"/>
  <c r="BO14" i="2" s="1"/>
  <c r="BN13" i="2"/>
  <c r="BO13" i="2" s="1"/>
  <c r="BN12" i="2"/>
  <c r="BO12" i="2" s="1"/>
  <c r="BN11" i="2"/>
  <c r="BO11" i="2" s="1"/>
  <c r="BI17" i="2"/>
  <c r="BJ17" i="2" s="1"/>
  <c r="BI16" i="2"/>
  <c r="BJ16" i="2" s="1"/>
  <c r="BI15" i="2"/>
  <c r="BJ15" i="2" s="1"/>
  <c r="BI14" i="2"/>
  <c r="BJ14" i="2" s="1"/>
  <c r="BI13" i="2"/>
  <c r="BJ13" i="2" s="1"/>
  <c r="BI12" i="2"/>
  <c r="BJ12" i="2" s="1"/>
  <c r="BI11" i="2"/>
  <c r="BJ11" i="2" s="1"/>
  <c r="BD17" i="2"/>
  <c r="BE17" i="2" s="1"/>
  <c r="BD16" i="2"/>
  <c r="BE16" i="2" s="1"/>
  <c r="BD15" i="2"/>
  <c r="BE15" i="2" s="1"/>
  <c r="BD14" i="2"/>
  <c r="BE14" i="2" s="1"/>
  <c r="BD13" i="2"/>
  <c r="BE13" i="2" s="1"/>
  <c r="BD12" i="2"/>
  <c r="BE12" i="2" s="1"/>
  <c r="BD11" i="2"/>
  <c r="BE11" i="2" s="1"/>
  <c r="AY17" i="2"/>
  <c r="AZ17" i="2" s="1"/>
  <c r="AY16" i="2"/>
  <c r="AZ16" i="2" s="1"/>
  <c r="AY15" i="2"/>
  <c r="AZ15" i="2" s="1"/>
  <c r="AY14" i="2"/>
  <c r="AZ14" i="2" s="1"/>
  <c r="AY13" i="2"/>
  <c r="AZ13" i="2" s="1"/>
  <c r="AY12" i="2"/>
  <c r="AZ12" i="2" s="1"/>
  <c r="AY11" i="2"/>
  <c r="AZ11" i="2" s="1"/>
  <c r="AT17" i="2"/>
  <c r="AU17" i="2" s="1"/>
  <c r="AT16" i="2"/>
  <c r="AU16" i="2" s="1"/>
  <c r="AT15" i="2"/>
  <c r="AU15" i="2" s="1"/>
  <c r="AT14" i="2"/>
  <c r="AU14" i="2" s="1"/>
  <c r="AT13" i="2"/>
  <c r="AU13" i="2" s="1"/>
  <c r="AT12" i="2"/>
  <c r="AU12" i="2" s="1"/>
  <c r="AT11" i="2"/>
  <c r="AU11" i="2" s="1"/>
  <c r="AO17" i="2"/>
  <c r="AP17" i="2" s="1"/>
  <c r="AO16" i="2"/>
  <c r="AP16" i="2" s="1"/>
  <c r="AO15" i="2"/>
  <c r="AP15" i="2" s="1"/>
  <c r="AO14" i="2"/>
  <c r="AP14" i="2" s="1"/>
  <c r="AO13" i="2"/>
  <c r="AP13" i="2" s="1"/>
  <c r="AO12" i="2"/>
  <c r="AP12" i="2" s="1"/>
  <c r="AO11" i="2"/>
  <c r="AP11" i="2" s="1"/>
  <c r="AJ17" i="2"/>
  <c r="AK17" i="2" s="1"/>
  <c r="AJ16" i="2"/>
  <c r="AK16" i="2" s="1"/>
  <c r="AJ15" i="2"/>
  <c r="AK15" i="2" s="1"/>
  <c r="AJ14" i="2"/>
  <c r="AK14" i="2" s="1"/>
  <c r="AJ13" i="2"/>
  <c r="AK13" i="2" s="1"/>
  <c r="AJ12" i="2"/>
  <c r="AK12" i="2" s="1"/>
  <c r="AJ11" i="2"/>
  <c r="AK11" i="2" s="1"/>
  <c r="AE17" i="2"/>
  <c r="AF17" i="2" s="1"/>
  <c r="AE16" i="2"/>
  <c r="AF16" i="2" s="1"/>
  <c r="AE15" i="2"/>
  <c r="AF15" i="2" s="1"/>
  <c r="AE14" i="2"/>
  <c r="AF14" i="2" s="1"/>
  <c r="AE13" i="2"/>
  <c r="AF13" i="2" s="1"/>
  <c r="AE12" i="2"/>
  <c r="AF12" i="2" s="1"/>
  <c r="AE11" i="2"/>
  <c r="AF11" i="2" s="1"/>
  <c r="Z17" i="2"/>
  <c r="AA17" i="2" s="1"/>
  <c r="Z16" i="2"/>
  <c r="AA16" i="2" s="1"/>
  <c r="Z15" i="2"/>
  <c r="AA15" i="2" s="1"/>
  <c r="Z14" i="2"/>
  <c r="AA14" i="2" s="1"/>
  <c r="Z13" i="2"/>
  <c r="AA13" i="2" s="1"/>
  <c r="Z12" i="2"/>
  <c r="AA12" i="2" s="1"/>
  <c r="Z11" i="2"/>
  <c r="AA11" i="2" s="1"/>
  <c r="U17" i="2"/>
  <c r="V17" i="2" s="1"/>
  <c r="U16" i="2"/>
  <c r="V16" i="2" s="1"/>
  <c r="U15" i="2"/>
  <c r="V15" i="2" s="1"/>
  <c r="U14" i="2"/>
  <c r="V14" i="2" s="1"/>
  <c r="U13" i="2"/>
  <c r="V13" i="2" s="1"/>
  <c r="U12" i="2"/>
  <c r="V12" i="2" s="1"/>
  <c r="U11" i="2"/>
  <c r="V11" i="2" s="1"/>
  <c r="P17" i="2"/>
  <c r="Q17" i="2" s="1"/>
  <c r="P16" i="2"/>
  <c r="Q16" i="2" s="1"/>
  <c r="P15" i="2"/>
  <c r="Q15" i="2" s="1"/>
  <c r="P14" i="2"/>
  <c r="Q14" i="2" s="1"/>
  <c r="P13" i="2"/>
  <c r="Q13" i="2" s="1"/>
  <c r="P12" i="2"/>
  <c r="Q12" i="2" s="1"/>
  <c r="P11" i="2"/>
  <c r="Q11" i="2" s="1"/>
  <c r="K17" i="2"/>
  <c r="L17" i="2" s="1"/>
  <c r="K16" i="2"/>
  <c r="L16" i="2" s="1"/>
  <c r="K15" i="2"/>
  <c r="L15" i="2" s="1"/>
  <c r="K14" i="2"/>
  <c r="K13" i="2"/>
  <c r="L13" i="2" s="1"/>
  <c r="K12" i="2"/>
  <c r="L12" i="2" s="1"/>
  <c r="K11" i="2"/>
  <c r="L11" i="2" s="1"/>
  <c r="G17" i="2"/>
  <c r="CK14" i="2" l="1"/>
  <c r="CJ14" i="2"/>
  <c r="CK12" i="2"/>
  <c r="CK16" i="2"/>
  <c r="G12" i="2"/>
  <c r="CJ16" i="2"/>
  <c r="G16" i="2"/>
  <c r="L14" i="2"/>
  <c r="CJ12" i="2"/>
  <c r="CK11" i="2"/>
  <c r="CK15" i="2"/>
  <c r="CJ11" i="2"/>
  <c r="CJ15" i="2"/>
  <c r="CK13" i="2"/>
  <c r="CK17" i="2"/>
  <c r="CJ13" i="2"/>
  <c r="CJ17" i="2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BN10" i="2" l="1"/>
  <c r="BO10" i="2" s="1"/>
  <c r="BN9" i="2"/>
  <c r="BO9" i="2" s="1"/>
  <c r="BN8" i="2"/>
  <c r="BO8" i="2" s="1"/>
  <c r="BN7" i="2"/>
  <c r="BO7" i="2" s="1"/>
  <c r="BN6" i="2"/>
  <c r="BO6" i="2" s="1"/>
  <c r="BN5" i="2"/>
  <c r="BO5" i="2" s="1"/>
  <c r="BN4" i="2"/>
  <c r="BO4" i="2" s="1"/>
  <c r="BS10" i="2"/>
  <c r="BT10" i="2" s="1"/>
  <c r="BS9" i="2"/>
  <c r="BT9" i="2" s="1"/>
  <c r="BS8" i="2"/>
  <c r="BT8" i="2" s="1"/>
  <c r="BS7" i="2"/>
  <c r="BT7" i="2" s="1"/>
  <c r="BS6" i="2"/>
  <c r="BT6" i="2" s="1"/>
  <c r="BS5" i="2"/>
  <c r="BT5" i="2" s="1"/>
  <c r="BS4" i="2"/>
  <c r="BT4" i="2" s="1"/>
  <c r="AT7" i="2" l="1"/>
  <c r="AU7" i="2" s="1"/>
  <c r="P10" i="2"/>
  <c r="Q10" i="2" s="1"/>
  <c r="P9" i="2"/>
  <c r="Q9" i="2" s="1"/>
  <c r="P8" i="2"/>
  <c r="Q8" i="2" s="1"/>
  <c r="P7" i="2"/>
  <c r="Q7" i="2" s="1"/>
  <c r="P6" i="2"/>
  <c r="Q6" i="2" s="1"/>
  <c r="P5" i="2"/>
  <c r="Q5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G6" i="2"/>
  <c r="P4" i="2"/>
  <c r="Q4" i="2" s="1"/>
  <c r="AT10" i="2"/>
  <c r="AU10" i="2" s="1"/>
  <c r="AT9" i="2"/>
  <c r="AU9" i="2" s="1"/>
  <c r="AT8" i="2"/>
  <c r="AU8" i="2" s="1"/>
  <c r="AT6" i="2"/>
  <c r="AU6" i="2" s="1"/>
  <c r="AT5" i="2"/>
  <c r="AU5" i="2" s="1"/>
  <c r="AT4" i="2"/>
  <c r="AU4" i="2" s="1"/>
  <c r="CC10" i="2"/>
  <c r="CD10" i="2" s="1"/>
  <c r="CC9" i="2"/>
  <c r="CD9" i="2" s="1"/>
  <c r="CC8" i="2"/>
  <c r="CD8" i="2" s="1"/>
  <c r="CC7" i="2"/>
  <c r="CD7" i="2" s="1"/>
  <c r="CC6" i="2"/>
  <c r="CD6" i="2" s="1"/>
  <c r="CC5" i="2"/>
  <c r="CD5" i="2" s="1"/>
  <c r="CC4" i="2"/>
  <c r="CD4" i="2" s="1"/>
  <c r="BX10" i="2"/>
  <c r="BY10" i="2" s="1"/>
  <c r="BX9" i="2"/>
  <c r="BY9" i="2" s="1"/>
  <c r="BX8" i="2"/>
  <c r="BY8" i="2" s="1"/>
  <c r="BX7" i="2"/>
  <c r="BY7" i="2" s="1"/>
  <c r="BX6" i="2"/>
  <c r="BX5" i="2"/>
  <c r="BY5" i="2" s="1"/>
  <c r="BX4" i="2"/>
  <c r="BY4" i="2" s="1"/>
  <c r="BI10" i="2"/>
  <c r="BJ10" i="2" s="1"/>
  <c r="BI9" i="2"/>
  <c r="BJ9" i="2" s="1"/>
  <c r="BI8" i="2"/>
  <c r="BJ8" i="2" s="1"/>
  <c r="BI7" i="2"/>
  <c r="BJ7" i="2" s="1"/>
  <c r="BI6" i="2"/>
  <c r="BJ6" i="2" s="1"/>
  <c r="BI5" i="2"/>
  <c r="BJ5" i="2" s="1"/>
  <c r="BI4" i="2"/>
  <c r="BJ4" i="2" s="1"/>
  <c r="BD10" i="2"/>
  <c r="BE10" i="2" s="1"/>
  <c r="BD9" i="2"/>
  <c r="BE9" i="2" s="1"/>
  <c r="BD8" i="2"/>
  <c r="BE8" i="2" s="1"/>
  <c r="BD7" i="2"/>
  <c r="BE7" i="2" s="1"/>
  <c r="BD6" i="2"/>
  <c r="BE6" i="2" s="1"/>
  <c r="BD5" i="2"/>
  <c r="BE5" i="2" s="1"/>
  <c r="BD4" i="2"/>
  <c r="BE4" i="2" s="1"/>
  <c r="AY10" i="2"/>
  <c r="AZ10" i="2" s="1"/>
  <c r="AY9" i="2"/>
  <c r="AZ9" i="2" s="1"/>
  <c r="AY8" i="2"/>
  <c r="AZ8" i="2" s="1"/>
  <c r="AY7" i="2"/>
  <c r="AZ7" i="2" s="1"/>
  <c r="AY6" i="2"/>
  <c r="AZ6" i="2" s="1"/>
  <c r="AY5" i="2"/>
  <c r="AZ5" i="2" s="1"/>
  <c r="AY4" i="2"/>
  <c r="AZ4" i="2" s="1"/>
  <c r="G10" i="2" l="1"/>
  <c r="G5" i="2"/>
  <c r="G9" i="2"/>
  <c r="BY6" i="2"/>
  <c r="G7" i="2"/>
  <c r="G4" i="2"/>
  <c r="G8" i="2"/>
  <c r="U4" i="2"/>
  <c r="V4" i="2" s="1"/>
  <c r="Z4" i="2"/>
  <c r="AA4" i="2" s="1"/>
  <c r="AE4" i="2"/>
  <c r="AF4" i="2" s="1"/>
  <c r="AJ4" i="2"/>
  <c r="AK4" i="2" s="1"/>
  <c r="AO4" i="2"/>
  <c r="AP4" i="2" s="1"/>
  <c r="CH4" i="2"/>
  <c r="CI4" i="2" s="1"/>
  <c r="U5" i="2"/>
  <c r="V5" i="2" s="1"/>
  <c r="Z5" i="2"/>
  <c r="AA5" i="2" s="1"/>
  <c r="AE5" i="2"/>
  <c r="AF5" i="2" s="1"/>
  <c r="AJ5" i="2"/>
  <c r="AK5" i="2" s="1"/>
  <c r="AO5" i="2"/>
  <c r="CH5" i="2"/>
  <c r="CI5" i="2" s="1"/>
  <c r="U6" i="2"/>
  <c r="V6" i="2" s="1"/>
  <c r="Z6" i="2"/>
  <c r="AE6" i="2"/>
  <c r="AF6" i="2" s="1"/>
  <c r="AJ6" i="2"/>
  <c r="AK6" i="2" s="1"/>
  <c r="AO6" i="2"/>
  <c r="AP6" i="2" s="1"/>
  <c r="CH6" i="2"/>
  <c r="CI6" i="2" s="1"/>
  <c r="U7" i="2"/>
  <c r="V7" i="2" s="1"/>
  <c r="Z7" i="2"/>
  <c r="AA7" i="2" s="1"/>
  <c r="AE7" i="2"/>
  <c r="AF7" i="2" s="1"/>
  <c r="AJ7" i="2"/>
  <c r="AK7" i="2" s="1"/>
  <c r="AO7" i="2"/>
  <c r="AP7" i="2" s="1"/>
  <c r="CH7" i="2"/>
  <c r="CI7" i="2" s="1"/>
  <c r="U8" i="2"/>
  <c r="V8" i="2" s="1"/>
  <c r="Z8" i="2"/>
  <c r="AA8" i="2" s="1"/>
  <c r="AE8" i="2"/>
  <c r="AF8" i="2" s="1"/>
  <c r="AJ8" i="2"/>
  <c r="AK8" i="2" s="1"/>
  <c r="AO8" i="2"/>
  <c r="AP8" i="2" s="1"/>
  <c r="CH8" i="2"/>
  <c r="CI8" i="2" s="1"/>
  <c r="U9" i="2"/>
  <c r="V9" i="2" s="1"/>
  <c r="Z9" i="2"/>
  <c r="AE9" i="2"/>
  <c r="AF9" i="2" s="1"/>
  <c r="AJ9" i="2"/>
  <c r="AK9" i="2" s="1"/>
  <c r="AO9" i="2"/>
  <c r="AP9" i="2" s="1"/>
  <c r="CH9" i="2"/>
  <c r="CI9" i="2" s="1"/>
  <c r="U10" i="2"/>
  <c r="V10" i="2" s="1"/>
  <c r="Z10" i="2"/>
  <c r="AA10" i="2" s="1"/>
  <c r="AE10" i="2"/>
  <c r="AF10" i="2" s="1"/>
  <c r="AJ10" i="2"/>
  <c r="AK10" i="2" s="1"/>
  <c r="AO10" i="2"/>
  <c r="CH10" i="2"/>
  <c r="CI10" i="2" s="1"/>
  <c r="CJ5" i="2" l="1"/>
  <c r="CJ8" i="2"/>
  <c r="CK7" i="2"/>
  <c r="CJ9" i="2"/>
  <c r="CK5" i="2"/>
  <c r="CK4" i="2"/>
  <c r="CJ10" i="2"/>
  <c r="CJ6" i="2"/>
  <c r="CK9" i="2"/>
  <c r="CJ4" i="2"/>
  <c r="CK10" i="2"/>
  <c r="CK6" i="2"/>
  <c r="CK8" i="2"/>
  <c r="CJ7" i="2"/>
  <c r="AP10" i="2"/>
  <c r="AP5" i="2"/>
  <c r="AA6" i="2"/>
  <c r="AA9" i="2"/>
  <c r="CL8" i="2" l="1"/>
  <c r="CL6" i="2"/>
  <c r="CL10" i="2"/>
  <c r="CL7" i="2"/>
  <c r="CL17" i="2"/>
  <c r="CL13" i="2"/>
  <c r="CL12" i="2"/>
  <c r="CL14" i="2"/>
  <c r="CL15" i="2"/>
  <c r="CL11" i="2"/>
  <c r="CL16" i="2"/>
  <c r="CL9" i="2"/>
  <c r="CL5" i="2"/>
  <c r="CL4" i="2"/>
</calcChain>
</file>

<file path=xl/sharedStrings.xml><?xml version="1.0" encoding="utf-8"?>
<sst xmlns="http://schemas.openxmlformats.org/spreadsheetml/2006/main" count="200" uniqueCount="55">
  <si>
    <t>NAME</t>
  </si>
  <si>
    <t>MATHS</t>
  </si>
  <si>
    <t>TOTAL</t>
  </si>
  <si>
    <t>AVERAGE</t>
  </si>
  <si>
    <t>IGBO</t>
  </si>
  <si>
    <t>OKAFOR CHINAZA</t>
  </si>
  <si>
    <t>OGARANYA SIMONPETER</t>
  </si>
  <si>
    <t>URAKU WISDOM</t>
  </si>
  <si>
    <t>GRADE</t>
  </si>
  <si>
    <t>CA (10%)</t>
  </si>
  <si>
    <t>TEST (20%)</t>
  </si>
  <si>
    <t>EXAM(70%)</t>
  </si>
  <si>
    <t>TOTAL(100%)</t>
  </si>
  <si>
    <t>POSITION</t>
  </si>
  <si>
    <t>CA(10%)</t>
  </si>
  <si>
    <t>SS1</t>
  </si>
  <si>
    <t>GOVERNMENT</t>
  </si>
  <si>
    <t>ELUU TREASURE</t>
  </si>
  <si>
    <t>PRAISE KEN OVIA OVIA</t>
  </si>
  <si>
    <t>NWANKWO KOSISOCHUKWU</t>
  </si>
  <si>
    <t>ELOM ANGELA</t>
  </si>
  <si>
    <t>MARKETING</t>
  </si>
  <si>
    <t>CRS</t>
  </si>
  <si>
    <t>AGRIC. SCIENCE</t>
  </si>
  <si>
    <t>CHEMISTRY</t>
  </si>
  <si>
    <t>ICT</t>
  </si>
  <si>
    <t>GEOGRAPHY</t>
  </si>
  <si>
    <t>CIVIC</t>
  </si>
  <si>
    <t>ENGLISH</t>
  </si>
  <si>
    <t>LITERATURE</t>
  </si>
  <si>
    <t>BIOLOGY</t>
  </si>
  <si>
    <t>ECONOMICS</t>
  </si>
  <si>
    <t>AGRIC SCIENCE</t>
  </si>
  <si>
    <t>PHYSICS</t>
  </si>
  <si>
    <t>A</t>
  </si>
  <si>
    <t>70-100</t>
  </si>
  <si>
    <t>B</t>
  </si>
  <si>
    <t>60-69</t>
  </si>
  <si>
    <t>C</t>
  </si>
  <si>
    <t>50-59</t>
  </si>
  <si>
    <t>D</t>
  </si>
  <si>
    <t>E</t>
  </si>
  <si>
    <t>F</t>
  </si>
  <si>
    <t>40-44</t>
  </si>
  <si>
    <t>45-49</t>
  </si>
  <si>
    <t>BELOW 40</t>
  </si>
  <si>
    <t>ACCOUNTING</t>
  </si>
  <si>
    <t>COMMERCE</t>
  </si>
  <si>
    <t>ORI CHIDERA</t>
  </si>
  <si>
    <t>OYIBE EMMANUELLA</t>
  </si>
  <si>
    <t>NWEKE IKENNA</t>
  </si>
  <si>
    <t>ALEGU JULIET</t>
  </si>
  <si>
    <t>NWOYI CHIDINMA</t>
  </si>
  <si>
    <t>OKETA UGOCHI</t>
  </si>
  <si>
    <t>NNAMANI FAITH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</si>
</sst>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 applyBorder="1"/>
    <xf numFmtId="0" fontId="1" fillId="3" borderId="0" xfId="0" applyFont="1" applyFill="1" applyBorder="1"/>
    <xf numFmtId="0" fontId="1" fillId="2" borderId="0" xfId="1" applyFont="1" applyBorder="1" applyAlignment="1">
      <alignment textRotation="90"/>
    </xf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3" fillId="4" borderId="1" xfId="1" applyFont="1" applyFill="1" applyBorder="1" applyAlignment="1">
      <alignment textRotation="90"/>
    </xf>
    <xf numFmtId="0" fontId="1" fillId="4" borderId="1" xfId="1" applyFont="1" applyFill="1" applyBorder="1" applyAlignment="1">
      <alignment textRotation="90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textRotation="90"/>
    </xf>
    <xf numFmtId="0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textRotation="90"/>
    </xf>
    <xf numFmtId="0" fontId="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selection activeCell="G9" sqref="G9"/>
    </sheetView>
  </sheetViews>
  <sheetFormatPr defaultRowHeight="15" x14ac:dyDescent="0.25"/>
  <cols>
    <col min="1" max="1" width="5.28515625" style="1" customWidth="1"/>
    <col min="2" max="2" width="29.5703125" style="1" customWidth="1"/>
    <col min="3" max="3" width="3.28515625" style="1" customWidth="1"/>
    <col min="4" max="4" width="5" style="1" customWidth="1"/>
    <col min="5" max="5" width="3" style="1" customWidth="1"/>
    <col min="6" max="6" width="3.28515625" style="1" customWidth="1"/>
    <col min="7" max="7" width="5.5703125" style="1" customWidth="1"/>
    <col min="8" max="13" width="3.28515625" style="1" customWidth="1"/>
    <col min="14" max="14" width="4.42578125" style="1" customWidth="1"/>
    <col min="15" max="18" width="3.28515625" style="1" customWidth="1"/>
    <col min="19" max="19" width="5.5703125" style="1" customWidth="1"/>
    <col min="20" max="20" width="6.7109375" style="2" customWidth="1"/>
    <col min="21" max="21" width="13.7109375" style="2" customWidth="1"/>
    <col min="22" max="16384" width="9.140625" style="1"/>
  </cols>
  <sheetData>
    <row r="1" spans="1:21" s="3" customFormat="1" ht="86.25" x14ac:dyDescent="0.25">
      <c r="A1" s="19" t="s">
        <v>15</v>
      </c>
      <c r="B1" s="19" t="s">
        <v>0</v>
      </c>
      <c r="C1" s="19" t="s">
        <v>1</v>
      </c>
      <c r="D1" s="19" t="s">
        <v>28</v>
      </c>
      <c r="E1" s="19" t="s">
        <v>29</v>
      </c>
      <c r="F1" s="19" t="s">
        <v>16</v>
      </c>
      <c r="G1" s="19" t="s">
        <v>31</v>
      </c>
      <c r="H1" s="19" t="s">
        <v>21</v>
      </c>
      <c r="I1" s="19" t="s">
        <v>27</v>
      </c>
      <c r="J1" s="19" t="s">
        <v>22</v>
      </c>
      <c r="K1" s="19" t="s">
        <v>23</v>
      </c>
      <c r="L1" s="19" t="s">
        <v>30</v>
      </c>
      <c r="M1" s="19" t="s">
        <v>24</v>
      </c>
      <c r="N1" s="20" t="s">
        <v>26</v>
      </c>
      <c r="O1" s="19" t="s">
        <v>4</v>
      </c>
      <c r="P1" s="19" t="s">
        <v>25</v>
      </c>
      <c r="Q1" s="19" t="s">
        <v>46</v>
      </c>
      <c r="R1" s="19" t="s">
        <v>47</v>
      </c>
      <c r="S1" s="19" t="s">
        <v>33</v>
      </c>
      <c r="T1" s="19" t="s">
        <v>2</v>
      </c>
      <c r="U1" s="19" t="s">
        <v>3</v>
      </c>
    </row>
    <row r="2" spans="1:21" ht="15.75" x14ac:dyDescent="0.25">
      <c r="A2" s="14">
        <v>1</v>
      </c>
      <c r="B2" s="14" t="s">
        <v>6</v>
      </c>
      <c r="C2" s="16">
        <v>14</v>
      </c>
      <c r="D2" s="15">
        <v>16</v>
      </c>
      <c r="E2" s="15"/>
      <c r="F2" s="16">
        <v>20</v>
      </c>
      <c r="G2" s="16">
        <v>14</v>
      </c>
      <c r="H2" s="16">
        <v>20</v>
      </c>
      <c r="I2" s="16"/>
      <c r="J2" s="16">
        <v>15</v>
      </c>
      <c r="K2" s="16">
        <v>20</v>
      </c>
      <c r="L2" s="16">
        <v>20</v>
      </c>
      <c r="M2" s="16">
        <v>18</v>
      </c>
      <c r="N2" s="15"/>
      <c r="O2" s="16">
        <v>16</v>
      </c>
      <c r="P2" s="16">
        <v>19</v>
      </c>
      <c r="Q2" s="16"/>
      <c r="R2" s="16"/>
      <c r="S2" s="16">
        <v>18</v>
      </c>
      <c r="T2" s="17">
        <f t="shared" ref="T2:T15" si="0">SUM(C2:S2)</f>
        <v>210</v>
      </c>
      <c r="U2" s="17">
        <f>AVERAGE(C2:S2)</f>
        <v>17.5</v>
      </c>
    </row>
    <row r="3" spans="1:21" ht="15.75" x14ac:dyDescent="0.25">
      <c r="A3" s="14">
        <v>2</v>
      </c>
      <c r="B3" s="14" t="s">
        <v>17</v>
      </c>
      <c r="C3" s="16">
        <v>7</v>
      </c>
      <c r="D3" s="15">
        <v>18</v>
      </c>
      <c r="E3" s="15"/>
      <c r="F3" s="16">
        <v>8</v>
      </c>
      <c r="G3" s="16">
        <v>5</v>
      </c>
      <c r="H3" s="16">
        <v>17</v>
      </c>
      <c r="I3" s="16"/>
      <c r="J3" s="16">
        <v>17</v>
      </c>
      <c r="K3" s="16">
        <v>20</v>
      </c>
      <c r="L3" s="16">
        <v>18</v>
      </c>
      <c r="M3" s="16">
        <v>6</v>
      </c>
      <c r="N3" s="15"/>
      <c r="O3" s="16">
        <v>12</v>
      </c>
      <c r="P3" s="16">
        <v>17</v>
      </c>
      <c r="Q3" s="16"/>
      <c r="R3" s="16"/>
      <c r="S3" s="16">
        <v>10</v>
      </c>
      <c r="T3" s="17">
        <f t="shared" si="0"/>
        <v>155</v>
      </c>
      <c r="U3" s="17">
        <f t="shared" ref="U3:U15" si="1">AVERAGE(C3:S3)</f>
        <v>12.916666666666666</v>
      </c>
    </row>
    <row r="4" spans="1:21" ht="15.75" x14ac:dyDescent="0.25">
      <c r="A4" s="14">
        <v>3</v>
      </c>
      <c r="B4" s="14" t="s">
        <v>18</v>
      </c>
      <c r="C4" s="16">
        <v>19</v>
      </c>
      <c r="D4" s="15">
        <v>14</v>
      </c>
      <c r="E4" s="15"/>
      <c r="F4" s="16">
        <v>18</v>
      </c>
      <c r="G4" s="16">
        <v>9</v>
      </c>
      <c r="H4" s="16">
        <v>19</v>
      </c>
      <c r="I4" s="16"/>
      <c r="J4" s="16">
        <v>15</v>
      </c>
      <c r="K4" s="16">
        <v>20</v>
      </c>
      <c r="L4" s="16">
        <v>18</v>
      </c>
      <c r="M4" s="16">
        <v>8</v>
      </c>
      <c r="N4" s="15"/>
      <c r="O4" s="16">
        <v>4</v>
      </c>
      <c r="P4" s="16">
        <v>18</v>
      </c>
      <c r="Q4" s="16"/>
      <c r="R4" s="16"/>
      <c r="S4" s="16">
        <v>14</v>
      </c>
      <c r="T4" s="17">
        <f t="shared" si="0"/>
        <v>176</v>
      </c>
      <c r="U4" s="17">
        <f t="shared" si="1"/>
        <v>14.666666666666666</v>
      </c>
    </row>
    <row r="5" spans="1:21" ht="15.75" x14ac:dyDescent="0.25">
      <c r="A5" s="14">
        <v>4</v>
      </c>
      <c r="B5" s="14" t="s">
        <v>5</v>
      </c>
      <c r="C5" s="16">
        <v>6</v>
      </c>
      <c r="D5" s="15">
        <v>16</v>
      </c>
      <c r="E5" s="15"/>
      <c r="F5" s="16">
        <v>16</v>
      </c>
      <c r="G5" s="16">
        <v>10</v>
      </c>
      <c r="H5" s="16">
        <v>14</v>
      </c>
      <c r="I5" s="16"/>
      <c r="J5" s="16">
        <v>9</v>
      </c>
      <c r="K5" s="16">
        <v>20</v>
      </c>
      <c r="L5" s="16">
        <v>13</v>
      </c>
      <c r="M5" s="16">
        <v>6</v>
      </c>
      <c r="N5" s="15"/>
      <c r="O5" s="16">
        <v>1</v>
      </c>
      <c r="P5" s="16">
        <v>15</v>
      </c>
      <c r="Q5" s="16"/>
      <c r="R5" s="16"/>
      <c r="S5" s="16">
        <v>0</v>
      </c>
      <c r="T5" s="17">
        <f t="shared" si="0"/>
        <v>126</v>
      </c>
      <c r="U5" s="17">
        <f t="shared" si="1"/>
        <v>10.5</v>
      </c>
    </row>
    <row r="6" spans="1:21" ht="15.75" x14ac:dyDescent="0.25">
      <c r="A6" s="14">
        <v>5</v>
      </c>
      <c r="B6" s="14" t="s">
        <v>19</v>
      </c>
      <c r="C6" s="16">
        <v>8</v>
      </c>
      <c r="D6" s="15">
        <v>18</v>
      </c>
      <c r="E6" s="15"/>
      <c r="F6" s="16">
        <v>12</v>
      </c>
      <c r="G6" s="16">
        <v>0</v>
      </c>
      <c r="H6" s="16">
        <v>11</v>
      </c>
      <c r="I6" s="16"/>
      <c r="J6" s="16">
        <v>5</v>
      </c>
      <c r="K6" s="16">
        <v>20</v>
      </c>
      <c r="L6" s="16">
        <v>17</v>
      </c>
      <c r="M6" s="16">
        <v>2</v>
      </c>
      <c r="N6" s="15"/>
      <c r="O6" s="16">
        <v>2</v>
      </c>
      <c r="P6" s="16">
        <v>13</v>
      </c>
      <c r="Q6" s="16"/>
      <c r="R6" s="16"/>
      <c r="S6" s="16">
        <v>1</v>
      </c>
      <c r="T6" s="17">
        <f t="shared" si="0"/>
        <v>109</v>
      </c>
      <c r="U6" s="17">
        <f t="shared" si="1"/>
        <v>9.0833333333333339</v>
      </c>
    </row>
    <row r="7" spans="1:21" ht="15.75" x14ac:dyDescent="0.25">
      <c r="A7" s="14">
        <v>6</v>
      </c>
      <c r="B7" s="14" t="s">
        <v>7</v>
      </c>
      <c r="C7" s="16">
        <v>10</v>
      </c>
      <c r="D7" s="15">
        <v>10</v>
      </c>
      <c r="E7" s="15"/>
      <c r="F7" s="16">
        <v>7</v>
      </c>
      <c r="G7" s="16">
        <v>4</v>
      </c>
      <c r="H7" s="16">
        <v>16</v>
      </c>
      <c r="I7" s="16"/>
      <c r="J7" s="16">
        <v>12</v>
      </c>
      <c r="K7" s="16">
        <v>19</v>
      </c>
      <c r="L7" s="16">
        <v>18</v>
      </c>
      <c r="M7" s="16">
        <v>10</v>
      </c>
      <c r="N7" s="15"/>
      <c r="O7" s="16">
        <v>12</v>
      </c>
      <c r="P7" s="16">
        <v>17</v>
      </c>
      <c r="Q7" s="16"/>
      <c r="R7" s="16"/>
      <c r="S7" s="16">
        <v>11</v>
      </c>
      <c r="T7" s="17">
        <f t="shared" si="0"/>
        <v>146</v>
      </c>
      <c r="U7" s="17">
        <f t="shared" si="1"/>
        <v>12.166666666666666</v>
      </c>
    </row>
    <row r="8" spans="1:21" ht="15.75" x14ac:dyDescent="0.25">
      <c r="A8" s="14">
        <v>7</v>
      </c>
      <c r="B8" s="14" t="s">
        <v>20</v>
      </c>
      <c r="C8" s="16">
        <v>6</v>
      </c>
      <c r="D8" s="15">
        <v>16</v>
      </c>
      <c r="E8" s="15"/>
      <c r="F8" s="16">
        <v>8</v>
      </c>
      <c r="G8" s="16">
        <v>6</v>
      </c>
      <c r="H8" s="16">
        <v>2</v>
      </c>
      <c r="I8" s="16"/>
      <c r="J8" s="16">
        <v>3</v>
      </c>
      <c r="K8" s="16">
        <v>16</v>
      </c>
      <c r="L8" s="16">
        <v>5</v>
      </c>
      <c r="M8" s="16">
        <v>2</v>
      </c>
      <c r="N8" s="15"/>
      <c r="O8" s="16">
        <v>0.5</v>
      </c>
      <c r="P8" s="16">
        <v>12</v>
      </c>
      <c r="Q8" s="16"/>
      <c r="R8" s="16"/>
      <c r="S8" s="16">
        <v>2</v>
      </c>
      <c r="T8" s="17">
        <f t="shared" si="0"/>
        <v>78.5</v>
      </c>
      <c r="U8" s="17">
        <f t="shared" si="1"/>
        <v>6.541666666666667</v>
      </c>
    </row>
    <row r="9" spans="1:21" ht="15.75" x14ac:dyDescent="0.25">
      <c r="A9" s="14">
        <v>8</v>
      </c>
      <c r="B9" s="14" t="s">
        <v>48</v>
      </c>
      <c r="C9" s="16">
        <v>6</v>
      </c>
      <c r="D9" s="15">
        <v>14</v>
      </c>
      <c r="E9" s="15"/>
      <c r="F9" s="16">
        <v>16</v>
      </c>
      <c r="G9" s="16">
        <v>7</v>
      </c>
      <c r="H9" s="16">
        <v>10</v>
      </c>
      <c r="I9" s="16"/>
      <c r="J9" s="16">
        <v>12</v>
      </c>
      <c r="K9" s="16">
        <v>20</v>
      </c>
      <c r="L9" s="16">
        <v>14</v>
      </c>
      <c r="M9" s="16">
        <v>5</v>
      </c>
      <c r="N9" s="16"/>
      <c r="O9" s="16">
        <v>1.5</v>
      </c>
      <c r="P9" s="16">
        <v>15</v>
      </c>
      <c r="Q9" s="16"/>
      <c r="R9" s="16"/>
      <c r="S9" s="16">
        <v>0</v>
      </c>
      <c r="T9" s="17">
        <f t="shared" si="0"/>
        <v>120.5</v>
      </c>
      <c r="U9" s="17">
        <f t="shared" si="1"/>
        <v>10.041666666666666</v>
      </c>
    </row>
    <row r="10" spans="1:21" ht="15.75" x14ac:dyDescent="0.25">
      <c r="A10" s="14">
        <v>9</v>
      </c>
      <c r="B10" s="14" t="s">
        <v>49</v>
      </c>
      <c r="C10" s="16">
        <v>7</v>
      </c>
      <c r="D10" s="15">
        <v>18</v>
      </c>
      <c r="E10" s="15"/>
      <c r="F10" s="16">
        <v>12</v>
      </c>
      <c r="G10" s="16">
        <v>7</v>
      </c>
      <c r="H10" s="16">
        <v>13</v>
      </c>
      <c r="I10" s="16"/>
      <c r="J10" s="16">
        <v>11</v>
      </c>
      <c r="K10" s="16">
        <v>20</v>
      </c>
      <c r="L10" s="16">
        <v>9</v>
      </c>
      <c r="M10" s="16">
        <v>2</v>
      </c>
      <c r="N10" s="16"/>
      <c r="O10" s="16">
        <v>4.5</v>
      </c>
      <c r="P10" s="16">
        <v>16</v>
      </c>
      <c r="Q10" s="16"/>
      <c r="R10" s="16"/>
      <c r="S10" s="16">
        <v>1</v>
      </c>
      <c r="T10" s="17">
        <f t="shared" si="0"/>
        <v>120.5</v>
      </c>
      <c r="U10" s="17">
        <f t="shared" si="1"/>
        <v>10.041666666666666</v>
      </c>
    </row>
    <row r="11" spans="1:21" ht="15.75" x14ac:dyDescent="0.25">
      <c r="A11" s="14">
        <v>10</v>
      </c>
      <c r="B11" s="14" t="s">
        <v>50</v>
      </c>
      <c r="C11" s="16">
        <v>6</v>
      </c>
      <c r="D11" s="15">
        <v>18</v>
      </c>
      <c r="E11" s="15"/>
      <c r="F11" s="16">
        <v>6</v>
      </c>
      <c r="G11" s="16">
        <v>4</v>
      </c>
      <c r="H11" s="16">
        <v>9</v>
      </c>
      <c r="I11" s="16"/>
      <c r="J11" s="16">
        <v>9</v>
      </c>
      <c r="K11" s="16">
        <v>17</v>
      </c>
      <c r="L11" s="16">
        <v>6</v>
      </c>
      <c r="M11" s="16">
        <v>2</v>
      </c>
      <c r="N11" s="16"/>
      <c r="O11" s="16">
        <v>4</v>
      </c>
      <c r="P11" s="16">
        <v>15</v>
      </c>
      <c r="Q11" s="16"/>
      <c r="R11" s="16"/>
      <c r="S11" s="16">
        <v>1</v>
      </c>
      <c r="T11" s="17">
        <f t="shared" si="0"/>
        <v>97</v>
      </c>
      <c r="U11" s="17">
        <f t="shared" si="1"/>
        <v>8.0833333333333339</v>
      </c>
    </row>
    <row r="12" spans="1:21" ht="15.75" x14ac:dyDescent="0.25">
      <c r="A12" s="14">
        <v>11</v>
      </c>
      <c r="B12" s="14" t="s">
        <v>51</v>
      </c>
      <c r="C12" s="16">
        <v>6</v>
      </c>
      <c r="D12" s="15">
        <v>18</v>
      </c>
      <c r="E12" s="15"/>
      <c r="F12" s="16">
        <v>16</v>
      </c>
      <c r="G12" s="16">
        <v>5</v>
      </c>
      <c r="H12" s="16">
        <v>10</v>
      </c>
      <c r="I12" s="16"/>
      <c r="J12" s="16">
        <v>9</v>
      </c>
      <c r="K12" s="16">
        <v>20</v>
      </c>
      <c r="L12" s="16">
        <v>18</v>
      </c>
      <c r="M12" s="16">
        <v>9</v>
      </c>
      <c r="N12" s="16"/>
      <c r="O12" s="16">
        <v>9</v>
      </c>
      <c r="P12" s="16">
        <v>15</v>
      </c>
      <c r="Q12" s="16"/>
      <c r="R12" s="16"/>
      <c r="S12" s="16">
        <v>8</v>
      </c>
      <c r="T12" s="17">
        <f t="shared" si="0"/>
        <v>143</v>
      </c>
      <c r="U12" s="17">
        <f t="shared" si="1"/>
        <v>11.916666666666666</v>
      </c>
    </row>
    <row r="13" spans="1:21" ht="15.75" x14ac:dyDescent="0.25">
      <c r="A13" s="14">
        <v>12</v>
      </c>
      <c r="B13" s="14" t="s">
        <v>52</v>
      </c>
      <c r="C13" s="16">
        <v>16</v>
      </c>
      <c r="D13" s="15">
        <v>18</v>
      </c>
      <c r="E13" s="15"/>
      <c r="F13" s="16">
        <v>16</v>
      </c>
      <c r="G13" s="16">
        <v>13</v>
      </c>
      <c r="H13" s="16">
        <v>18</v>
      </c>
      <c r="I13" s="16"/>
      <c r="J13" s="16">
        <v>10</v>
      </c>
      <c r="K13" s="16">
        <v>20</v>
      </c>
      <c r="L13" s="16">
        <v>18</v>
      </c>
      <c r="M13" s="16">
        <v>10</v>
      </c>
      <c r="N13" s="16"/>
      <c r="O13" s="16">
        <v>10</v>
      </c>
      <c r="P13" s="16">
        <v>14</v>
      </c>
      <c r="Q13" s="16"/>
      <c r="R13" s="16"/>
      <c r="S13" s="16">
        <v>6</v>
      </c>
      <c r="T13" s="17">
        <f t="shared" si="0"/>
        <v>169</v>
      </c>
      <c r="U13" s="17">
        <f t="shared" si="1"/>
        <v>14.083333333333334</v>
      </c>
    </row>
    <row r="14" spans="1:21" ht="15.75" x14ac:dyDescent="0.25">
      <c r="A14" s="14">
        <v>13</v>
      </c>
      <c r="B14" s="14" t="s">
        <v>53</v>
      </c>
      <c r="C14" s="16">
        <v>0</v>
      </c>
      <c r="D14" s="15">
        <v>0</v>
      </c>
      <c r="E14" s="15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7">
        <f t="shared" si="0"/>
        <v>0</v>
      </c>
      <c r="U14" s="17">
        <f t="shared" si="1"/>
        <v>0</v>
      </c>
    </row>
    <row r="15" spans="1:21" ht="15.75" x14ac:dyDescent="0.25">
      <c r="A15" s="14">
        <v>14</v>
      </c>
      <c r="B15" s="14" t="s">
        <v>54</v>
      </c>
      <c r="C15" s="18">
        <v>10</v>
      </c>
      <c r="D15" s="15">
        <v>18</v>
      </c>
      <c r="E15" s="15"/>
      <c r="F15" s="16">
        <v>4</v>
      </c>
      <c r="G15" s="16">
        <v>5</v>
      </c>
      <c r="H15" s="16">
        <v>10</v>
      </c>
      <c r="I15" s="16"/>
      <c r="J15" s="16">
        <v>8</v>
      </c>
      <c r="K15" s="16">
        <v>19</v>
      </c>
      <c r="L15" s="16">
        <v>10</v>
      </c>
      <c r="M15" s="16">
        <v>2</v>
      </c>
      <c r="N15" s="16"/>
      <c r="O15" s="16">
        <v>6</v>
      </c>
      <c r="P15" s="16">
        <v>15</v>
      </c>
      <c r="Q15" s="16"/>
      <c r="R15" s="16"/>
      <c r="S15" s="16">
        <v>6</v>
      </c>
      <c r="T15" s="17">
        <f t="shared" si="0"/>
        <v>113</v>
      </c>
      <c r="U15" s="17">
        <f t="shared" si="1"/>
        <v>9.4166666666666661</v>
      </c>
    </row>
    <row r="16" spans="1:21" ht="15.75" x14ac:dyDescent="0.25">
      <c r="A16" s="7"/>
      <c r="B16" s="7"/>
      <c r="C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8"/>
      <c r="U16" s="8"/>
    </row>
    <row r="17" spans="1:21" ht="15.75" x14ac:dyDescent="0.25">
      <c r="A17" s="7"/>
      <c r="B17" s="7"/>
      <c r="C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8"/>
      <c r="U17" s="8"/>
    </row>
    <row r="18" spans="1:21" ht="15.75" x14ac:dyDescent="0.25">
      <c r="A18" s="7"/>
      <c r="B18" s="7"/>
      <c r="C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8"/>
      <c r="U18" s="8"/>
    </row>
    <row r="19" spans="1:21" ht="15.75" x14ac:dyDescent="0.25">
      <c r="A19" s="7"/>
      <c r="B19" s="7"/>
      <c r="C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8"/>
      <c r="U19" s="8"/>
    </row>
    <row r="20" spans="1:21" ht="15.75" x14ac:dyDescent="0.25">
      <c r="A20" s="7"/>
      <c r="B20" s="7"/>
      <c r="C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8"/>
      <c r="U20" s="8"/>
    </row>
    <row r="21" spans="1:21" ht="15.75" x14ac:dyDescent="0.25">
      <c r="A21" s="7"/>
      <c r="B21" s="7"/>
      <c r="C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8"/>
      <c r="U21" s="8"/>
    </row>
    <row r="22" spans="1:21" ht="15.75" x14ac:dyDescent="0.25">
      <c r="A22" s="7"/>
      <c r="B22" s="7"/>
      <c r="C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8"/>
      <c r="U22" s="8"/>
    </row>
    <row r="23" spans="1:21" ht="15.75" x14ac:dyDescent="0.25">
      <c r="A23" s="7"/>
      <c r="B23" s="7"/>
      <c r="C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8"/>
      <c r="U23" s="8"/>
    </row>
    <row r="24" spans="1:21" ht="15.75" x14ac:dyDescent="0.25">
      <c r="A24" s="7"/>
      <c r="B24" s="7"/>
      <c r="C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8"/>
      <c r="U24" s="8"/>
    </row>
    <row r="25" spans="1:21" ht="15.75" x14ac:dyDescent="0.25">
      <c r="A25" s="7"/>
      <c r="B25" s="7"/>
      <c r="C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8"/>
      <c r="U25" s="8"/>
    </row>
    <row r="26" spans="1:21" ht="15.75" x14ac:dyDescent="0.25">
      <c r="A26" s="7"/>
      <c r="B26" s="7"/>
      <c r="C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8"/>
      <c r="U26" s="8"/>
    </row>
    <row r="27" spans="1:21" ht="15.75" x14ac:dyDescent="0.25">
      <c r="A27" s="7"/>
      <c r="B27" s="7"/>
      <c r="C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8"/>
      <c r="U27" s="8"/>
    </row>
    <row r="28" spans="1:21" ht="15.75" x14ac:dyDescent="0.25">
      <c r="A28" s="7"/>
      <c r="B28" s="7"/>
      <c r="C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8"/>
      <c r="U28" s="8"/>
    </row>
    <row r="29" spans="1:21" ht="15.75" x14ac:dyDescent="0.25">
      <c r="A29" s="7"/>
      <c r="B29" s="7"/>
      <c r="C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  <c r="U29" s="8"/>
    </row>
    <row r="30" spans="1:21" ht="15.75" x14ac:dyDescent="0.25">
      <c r="A30" s="7"/>
      <c r="B30" s="7"/>
      <c r="C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8"/>
    </row>
    <row r="31" spans="1:21" ht="15.75" x14ac:dyDescent="0.25">
      <c r="T31" s="8"/>
      <c r="U31" s="8"/>
    </row>
    <row r="32" spans="1:21" ht="15.75" x14ac:dyDescent="0.25">
      <c r="T32" s="8"/>
      <c r="U32" s="8"/>
    </row>
  </sheetData>
  <pageMargins left="0.7" right="0.7" top="0.25" bottom="0.25" header="0.3" footer="0.3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M44"/>
  <sheetViews>
    <sheetView tabSelected="1" zoomScale="50" zoomScaleNormal="50" workbookViewId="0">
      <selection activeCell="B15" sqref="B15"/>
    </sheetView>
  </sheetViews>
  <sheetFormatPr defaultRowHeight="15" x14ac:dyDescent="0.25"/>
  <cols>
    <col min="1" max="1" width="7.85546875" style="4" bestFit="1" customWidth="1"/>
    <col min="2" max="2" width="41.85546875" style="4" bestFit="1" customWidth="1"/>
    <col min="3" max="4" width="7.85546875" style="4" bestFit="1" customWidth="1"/>
    <col min="5" max="5" width="8.140625" style="4" bestFit="1" customWidth="1"/>
    <col min="6" max="6" width="9.28515625" style="4" bestFit="1" customWidth="1"/>
    <col min="7" max="24" width="7.85546875" style="4" bestFit="1" customWidth="1"/>
    <col min="25" max="26" width="9.28515625" style="4" bestFit="1" customWidth="1"/>
    <col min="27" max="49" width="7.85546875" style="4" bestFit="1" customWidth="1"/>
    <col min="50" max="51" width="9.28515625" style="4" bestFit="1" customWidth="1"/>
    <col min="52" max="55" width="7.85546875" style="4" bestFit="1" customWidth="1"/>
    <col min="56" max="56" width="9.28515625" style="4" bestFit="1" customWidth="1"/>
    <col min="57" max="64" width="7.85546875" style="4" bestFit="1" customWidth="1"/>
    <col min="65" max="66" width="9.28515625" style="4" bestFit="1" customWidth="1"/>
    <col min="67" max="83" width="7.85546875" style="4" bestFit="1" customWidth="1"/>
    <col min="84" max="84" width="9.28515625" style="4" bestFit="1" customWidth="1"/>
    <col min="85" max="85" width="7.85546875" style="4" bestFit="1" customWidth="1"/>
    <col min="86" max="86" width="9.28515625" style="4" bestFit="1" customWidth="1"/>
    <col min="87" max="87" width="7.85546875" style="4" bestFit="1" customWidth="1"/>
    <col min="88" max="88" width="16.7109375" style="4" bestFit="1" customWidth="1"/>
    <col min="89" max="89" width="21.85546875" style="4" bestFit="1" customWidth="1"/>
    <col min="90" max="90" width="15.28515625" style="4" bestFit="1" customWidth="1"/>
    <col min="91" max="16384" width="9.140625" style="4"/>
  </cols>
  <sheetData>
    <row r="2" spans="1:91" ht="18.75" x14ac:dyDescent="0.25">
      <c r="A2" s="11"/>
      <c r="B2" s="11"/>
      <c r="C2" s="27" t="s">
        <v>1</v>
      </c>
      <c r="D2" s="27"/>
      <c r="E2" s="27"/>
      <c r="F2" s="27"/>
      <c r="G2" s="27"/>
      <c r="H2" s="27" t="s">
        <v>28</v>
      </c>
      <c r="I2" s="27"/>
      <c r="J2" s="27"/>
      <c r="K2" s="27"/>
      <c r="L2" s="27"/>
      <c r="M2" s="27" t="s">
        <v>29</v>
      </c>
      <c r="N2" s="27"/>
      <c r="O2" s="27"/>
      <c r="P2" s="27"/>
      <c r="Q2" s="27"/>
      <c r="R2" s="27" t="s">
        <v>16</v>
      </c>
      <c r="S2" s="27"/>
      <c r="T2" s="27"/>
      <c r="U2" s="27"/>
      <c r="V2" s="27"/>
      <c r="W2" s="27" t="s">
        <v>31</v>
      </c>
      <c r="X2" s="27"/>
      <c r="Y2" s="27"/>
      <c r="Z2" s="27"/>
      <c r="AA2" s="27"/>
      <c r="AB2" s="27" t="s">
        <v>21</v>
      </c>
      <c r="AC2" s="27"/>
      <c r="AD2" s="27"/>
      <c r="AE2" s="27"/>
      <c r="AF2" s="27"/>
      <c r="AG2" s="27" t="s">
        <v>27</v>
      </c>
      <c r="AH2" s="27"/>
      <c r="AI2" s="27"/>
      <c r="AJ2" s="27"/>
      <c r="AK2" s="27"/>
      <c r="AL2" s="27" t="s">
        <v>22</v>
      </c>
      <c r="AM2" s="27"/>
      <c r="AN2" s="27"/>
      <c r="AO2" s="27"/>
      <c r="AP2" s="27"/>
      <c r="AQ2" s="27" t="s">
        <v>4</v>
      </c>
      <c r="AR2" s="27"/>
      <c r="AS2" s="27"/>
      <c r="AT2" s="27"/>
      <c r="AU2" s="27"/>
      <c r="AV2" s="27" t="s">
        <v>26</v>
      </c>
      <c r="AW2" s="27"/>
      <c r="AX2" s="27"/>
      <c r="AY2" s="27"/>
      <c r="AZ2" s="27"/>
      <c r="BA2" s="27" t="s">
        <v>32</v>
      </c>
      <c r="BB2" s="27"/>
      <c r="BC2" s="27"/>
      <c r="BD2" s="27"/>
      <c r="BE2" s="27"/>
      <c r="BF2" s="27" t="s">
        <v>30</v>
      </c>
      <c r="BG2" s="27"/>
      <c r="BH2" s="27"/>
      <c r="BI2" s="27"/>
      <c r="BJ2" s="27"/>
      <c r="BK2" s="27" t="s">
        <v>46</v>
      </c>
      <c r="BL2" s="27"/>
      <c r="BM2" s="27"/>
      <c r="BN2" s="27"/>
      <c r="BO2" s="27"/>
      <c r="BP2" s="27" t="s">
        <v>47</v>
      </c>
      <c r="BQ2" s="27"/>
      <c r="BR2" s="27"/>
      <c r="BS2" s="27"/>
      <c r="BT2" s="27"/>
      <c r="BU2" s="27" t="s">
        <v>24</v>
      </c>
      <c r="BV2" s="27"/>
      <c r="BW2" s="27"/>
      <c r="BX2" s="27"/>
      <c r="BY2" s="27"/>
      <c r="BZ2" s="27" t="s">
        <v>33</v>
      </c>
      <c r="CA2" s="27"/>
      <c r="CB2" s="27"/>
      <c r="CC2" s="27"/>
      <c r="CD2" s="27"/>
      <c r="CE2" s="27" t="s">
        <v>25</v>
      </c>
      <c r="CF2" s="27"/>
      <c r="CG2" s="27"/>
      <c r="CH2" s="27"/>
      <c r="CI2" s="27"/>
      <c r="CJ2" s="27" t="s">
        <v>2</v>
      </c>
      <c r="CK2" s="27" t="s">
        <v>3</v>
      </c>
      <c r="CL2" s="27" t="s">
        <v>13</v>
      </c>
    </row>
    <row r="3" spans="1:91" ht="90.75" x14ac:dyDescent="0.25">
      <c r="A3" s="23" t="s">
        <v>15</v>
      </c>
      <c r="B3" s="24" t="s">
        <v>0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8</v>
      </c>
      <c r="H3" s="25" t="s">
        <v>9</v>
      </c>
      <c r="I3" s="25" t="s">
        <v>10</v>
      </c>
      <c r="J3" s="25" t="s">
        <v>11</v>
      </c>
      <c r="K3" s="25" t="s">
        <v>12</v>
      </c>
      <c r="L3" s="25" t="s">
        <v>8</v>
      </c>
      <c r="M3" s="25" t="s">
        <v>9</v>
      </c>
      <c r="N3" s="25" t="s">
        <v>10</v>
      </c>
      <c r="O3" s="25" t="s">
        <v>11</v>
      </c>
      <c r="P3" s="25" t="s">
        <v>12</v>
      </c>
      <c r="Q3" s="25" t="s">
        <v>8</v>
      </c>
      <c r="R3" s="25" t="s">
        <v>9</v>
      </c>
      <c r="S3" s="25" t="s">
        <v>10</v>
      </c>
      <c r="T3" s="25" t="s">
        <v>11</v>
      </c>
      <c r="U3" s="25" t="s">
        <v>12</v>
      </c>
      <c r="V3" s="25" t="s">
        <v>8</v>
      </c>
      <c r="W3" s="25" t="s">
        <v>14</v>
      </c>
      <c r="X3" s="25" t="s">
        <v>10</v>
      </c>
      <c r="Y3" s="25" t="s">
        <v>11</v>
      </c>
      <c r="Z3" s="25" t="s">
        <v>12</v>
      </c>
      <c r="AA3" s="25" t="s">
        <v>8</v>
      </c>
      <c r="AB3" s="25" t="s">
        <v>9</v>
      </c>
      <c r="AC3" s="25" t="s">
        <v>10</v>
      </c>
      <c r="AD3" s="25" t="s">
        <v>11</v>
      </c>
      <c r="AE3" s="25" t="s">
        <v>12</v>
      </c>
      <c r="AF3" s="25" t="s">
        <v>8</v>
      </c>
      <c r="AG3" s="25" t="s">
        <v>9</v>
      </c>
      <c r="AH3" s="25" t="s">
        <v>10</v>
      </c>
      <c r="AI3" s="25" t="s">
        <v>11</v>
      </c>
      <c r="AJ3" s="25" t="s">
        <v>12</v>
      </c>
      <c r="AK3" s="25" t="s">
        <v>8</v>
      </c>
      <c r="AL3" s="25" t="s">
        <v>9</v>
      </c>
      <c r="AM3" s="25" t="s">
        <v>10</v>
      </c>
      <c r="AN3" s="25" t="s">
        <v>11</v>
      </c>
      <c r="AO3" s="25" t="s">
        <v>12</v>
      </c>
      <c r="AP3" s="25" t="s">
        <v>8</v>
      </c>
      <c r="AQ3" s="25" t="s">
        <v>9</v>
      </c>
      <c r="AR3" s="25" t="s">
        <v>10</v>
      </c>
      <c r="AS3" s="25" t="s">
        <v>11</v>
      </c>
      <c r="AT3" s="25" t="s">
        <v>12</v>
      </c>
      <c r="AU3" s="25" t="s">
        <v>8</v>
      </c>
      <c r="AV3" s="25" t="s">
        <v>9</v>
      </c>
      <c r="AW3" s="25" t="s">
        <v>10</v>
      </c>
      <c r="AX3" s="25" t="s">
        <v>11</v>
      </c>
      <c r="AY3" s="25" t="s">
        <v>12</v>
      </c>
      <c r="AZ3" s="25" t="s">
        <v>8</v>
      </c>
      <c r="BA3" s="25" t="s">
        <v>9</v>
      </c>
      <c r="BB3" s="25" t="s">
        <v>10</v>
      </c>
      <c r="BC3" s="25" t="s">
        <v>11</v>
      </c>
      <c r="BD3" s="25" t="s">
        <v>12</v>
      </c>
      <c r="BE3" s="25" t="s">
        <v>8</v>
      </c>
      <c r="BF3" s="25" t="s">
        <v>9</v>
      </c>
      <c r="BG3" s="25" t="s">
        <v>10</v>
      </c>
      <c r="BH3" s="25" t="s">
        <v>11</v>
      </c>
      <c r="BI3" s="25" t="s">
        <v>12</v>
      </c>
      <c r="BJ3" s="25" t="s">
        <v>8</v>
      </c>
      <c r="BK3" s="25" t="s">
        <v>9</v>
      </c>
      <c r="BL3" s="25" t="s">
        <v>10</v>
      </c>
      <c r="BM3" s="25" t="s">
        <v>11</v>
      </c>
      <c r="BN3" s="25" t="s">
        <v>12</v>
      </c>
      <c r="BO3" s="25" t="s">
        <v>8</v>
      </c>
      <c r="BP3" s="25" t="s">
        <v>9</v>
      </c>
      <c r="BQ3" s="25" t="s">
        <v>10</v>
      </c>
      <c r="BR3" s="25" t="s">
        <v>11</v>
      </c>
      <c r="BS3" s="25" t="s">
        <v>12</v>
      </c>
      <c r="BT3" s="25" t="s">
        <v>8</v>
      </c>
      <c r="BU3" s="25" t="s">
        <v>9</v>
      </c>
      <c r="BV3" s="25" t="s">
        <v>10</v>
      </c>
      <c r="BW3" s="25" t="s">
        <v>11</v>
      </c>
      <c r="BX3" s="25" t="s">
        <v>12</v>
      </c>
      <c r="BY3" s="25" t="s">
        <v>8</v>
      </c>
      <c r="BZ3" s="25" t="s">
        <v>9</v>
      </c>
      <c r="CA3" s="25" t="s">
        <v>10</v>
      </c>
      <c r="CB3" s="25" t="s">
        <v>11</v>
      </c>
      <c r="CC3" s="25" t="s">
        <v>12</v>
      </c>
      <c r="CD3" s="25" t="s">
        <v>8</v>
      </c>
      <c r="CE3" s="25" t="s">
        <v>9</v>
      </c>
      <c r="CF3" s="25" t="s">
        <v>10</v>
      </c>
      <c r="CG3" s="25" t="s">
        <v>11</v>
      </c>
      <c r="CH3" s="25" t="s">
        <v>12</v>
      </c>
      <c r="CI3" s="25" t="s">
        <v>8</v>
      </c>
      <c r="CJ3" s="27"/>
      <c r="CK3" s="27"/>
      <c r="CL3" s="27"/>
    </row>
    <row r="4" spans="1:91" ht="18.75" x14ac:dyDescent="0.25">
      <c r="A4" s="14">
        <v>1</v>
      </c>
      <c r="B4" s="14" t="s">
        <v>6</v>
      </c>
      <c r="C4" s="15">
        <v>10</v>
      </c>
      <c r="D4" s="16">
        <v>14</v>
      </c>
      <c r="E4" s="21">
        <v>13</v>
      </c>
      <c r="F4" s="21">
        <f t="shared" ref="F4:F14" si="0">SUM(C4:E4)</f>
        <v>37</v>
      </c>
      <c r="G4" s="21" t="str">
        <f>IF(F4&gt;=70,"A",IF(F4&gt;=60,"B",IF(F4&gt;=50,"C",IF(F4&gt;=45,"D",IF(F4&gt;=40,"E","F")))))</f>
        <v>F</v>
      </c>
      <c r="H4" s="21">
        <v>10</v>
      </c>
      <c r="I4" s="15">
        <v>16</v>
      </c>
      <c r="J4" s="21">
        <v>59</v>
      </c>
      <c r="K4" s="21">
        <f>SUM(H4:J4)</f>
        <v>85</v>
      </c>
      <c r="L4" s="21" t="str">
        <f t="shared" ref="L4:L17" si="1">IF(K4&gt;=70,"A",IF(K4&gt;=60,"B",IF(K4&gt;=50,"C",IF(K4&gt;=45,"D",IF(K4&gt;=40,"E","F")))))</f>
        <v>A</v>
      </c>
      <c r="M4" s="21">
        <v>10</v>
      </c>
      <c r="N4" s="15">
        <v>20</v>
      </c>
      <c r="O4" s="21">
        <v>62.5</v>
      </c>
      <c r="P4" s="21">
        <f>SUM(M4:O4)</f>
        <v>92.5</v>
      </c>
      <c r="Q4" s="21" t="str">
        <f t="shared" ref="Q4:Q17" si="2">IF(P4&gt;=70,"A",IF(P4&gt;=60,"B",IF(P4&gt;=50,"C",IF(P4&gt;=45,"D",IF(P4&gt;=40,"E","F")))))</f>
        <v>A</v>
      </c>
      <c r="R4" s="21">
        <v>10</v>
      </c>
      <c r="S4" s="16">
        <v>20</v>
      </c>
      <c r="T4" s="21">
        <v>67</v>
      </c>
      <c r="U4" s="21">
        <f>SUM(R4:T4)</f>
        <v>97</v>
      </c>
      <c r="V4" s="21" t="str">
        <f t="shared" ref="V4:V17" si="3">IF(U4&gt;=70,"A",IF(U4&gt;=60,"B",IF(U4&gt;=50,"C",IF(U4&gt;=45,"D",IF(U4&gt;=40,"E","F")))))</f>
        <v>A</v>
      </c>
      <c r="W4" s="21">
        <v>10</v>
      </c>
      <c r="X4" s="16">
        <v>14</v>
      </c>
      <c r="Y4" s="21">
        <v>60</v>
      </c>
      <c r="Z4" s="21">
        <f>SUM(W4:Y4)</f>
        <v>84</v>
      </c>
      <c r="AA4" s="21" t="str">
        <f t="shared" ref="AA4:AA17" si="4">IF(Z4&gt;=70,"A",IF(Z4&gt;=60,"B",IF(Z4&gt;=50,"C",IF(Z4&gt;=45,"D",IF(Z4&gt;=40,"E","F")))))</f>
        <v>A</v>
      </c>
      <c r="AB4" s="21">
        <v>10</v>
      </c>
      <c r="AC4" s="16">
        <v>20</v>
      </c>
      <c r="AD4" s="21">
        <v>70</v>
      </c>
      <c r="AE4" s="21">
        <f>SUM(AB4:AD4)</f>
        <v>100</v>
      </c>
      <c r="AF4" s="21" t="str">
        <f t="shared" ref="AF4:AF17" si="5">IF(AE4&gt;=70,"A",IF(AE4&gt;=60,"B",IF(AE4&gt;=50,"C",IF(AE4&gt;=45,"D",IF(AE4&gt;=40,"E","F")))))</f>
        <v>A</v>
      </c>
      <c r="AG4" s="21">
        <v>10</v>
      </c>
      <c r="AH4" s="16">
        <v>20</v>
      </c>
      <c r="AI4" s="21">
        <v>63</v>
      </c>
      <c r="AJ4" s="21">
        <f>SUM(AG4:AI4)</f>
        <v>93</v>
      </c>
      <c r="AK4" s="21" t="str">
        <f t="shared" ref="AK4:AK17" si="6">IF(AJ4&gt;=70,"A",IF(AJ4&gt;=60,"B",IF(AJ4&gt;=50,"C",IF(AJ4&gt;=45,"D",IF(AJ4&gt;=40,"E","F")))))</f>
        <v>A</v>
      </c>
      <c r="AL4" s="21">
        <v>10</v>
      </c>
      <c r="AM4" s="16">
        <v>15</v>
      </c>
      <c r="AN4" s="21">
        <v>57</v>
      </c>
      <c r="AO4" s="21">
        <f>SUM(AL4:AN4)</f>
        <v>82</v>
      </c>
      <c r="AP4" s="21" t="str">
        <f t="shared" ref="AP4:AP17" si="7">IF(AO4&gt;=70,"A",IF(AO4&gt;=60,"B",IF(AO4&gt;=50,"C",IF(AO4&gt;=45,"D",IF(AO4&gt;=40,"E","F")))))</f>
        <v>A</v>
      </c>
      <c r="AQ4" s="21">
        <v>10</v>
      </c>
      <c r="AR4" s="16">
        <v>16</v>
      </c>
      <c r="AS4" s="21">
        <v>64</v>
      </c>
      <c r="AT4" s="21">
        <f>SUM(AQ4:AS4)</f>
        <v>90</v>
      </c>
      <c r="AU4" s="21" t="str">
        <f t="shared" ref="AU4:AU5" si="8">IF(AT4&gt;=70,"A",IF(AT4&gt;=60,"B",IF(AT4&gt;=50,"C",IF(AT4&gt;=45,"D",IF(AT4&gt;=40,"E","F")))))</f>
        <v>A</v>
      </c>
      <c r="AV4" s="21">
        <v>10</v>
      </c>
      <c r="AW4" s="15">
        <v>20</v>
      </c>
      <c r="AX4" s="21">
        <v>70</v>
      </c>
      <c r="AY4" s="21">
        <f>SUM(AV4:AX4)</f>
        <v>100</v>
      </c>
      <c r="AZ4" s="21" t="str">
        <f t="shared" ref="AZ4:AZ17" si="9">IF(AY4&gt;=70,"A",IF(AY4&gt;=60,"B",IF(AY4&gt;=50,"C",IF(AY4&gt;=45,"D",IF(AY4&gt;=40,"E","F")))))</f>
        <v>A</v>
      </c>
      <c r="BA4" s="21">
        <v>10</v>
      </c>
      <c r="BB4" s="16">
        <v>20</v>
      </c>
      <c r="BC4" s="21">
        <v>70</v>
      </c>
      <c r="BD4" s="21">
        <f>SUM(BA4:BC4)</f>
        <v>100</v>
      </c>
      <c r="BE4" s="21" t="str">
        <f t="shared" ref="BE4:BE17" si="10">IF(BD4&gt;=70,"A",IF(BD4&gt;=60,"B",IF(BD4&gt;=50,"C",IF(BD4&gt;=45,"D",IF(BD4&gt;=40,"E","F")))))</f>
        <v>A</v>
      </c>
      <c r="BF4" s="21">
        <v>10</v>
      </c>
      <c r="BG4" s="16">
        <v>20</v>
      </c>
      <c r="BH4" s="21">
        <v>67</v>
      </c>
      <c r="BI4" s="21">
        <f>SUM(BF4:BH4)</f>
        <v>97</v>
      </c>
      <c r="BJ4" s="21" t="str">
        <f t="shared" ref="BJ4:BJ17" si="11">IF(BI4&gt;=70,"A",IF(BI4&gt;=60,"B",IF(BI4&gt;=50,"C",IF(BI4&gt;=45,"D",IF(BI4&gt;=40,"E","F")))))</f>
        <v>A</v>
      </c>
      <c r="BK4" s="21">
        <v>10</v>
      </c>
      <c r="BL4" s="16"/>
      <c r="BM4" s="21"/>
      <c r="BN4" s="21">
        <f t="shared" ref="BN4:BN17" si="12">SUM(BK4:BM4)</f>
        <v>10</v>
      </c>
      <c r="BO4" s="21" t="str">
        <f t="shared" ref="BO4:BO17" si="13">IF(BN4&gt;=70,"A",IF(BN4&gt;=60,"B",IF(BN4&gt;=50,"C",IF(BN4&gt;=45,"D",IF(BN4&gt;=40,"E","F")))))</f>
        <v>F</v>
      </c>
      <c r="BP4" s="21">
        <v>10</v>
      </c>
      <c r="BQ4" s="16">
        <v>20</v>
      </c>
      <c r="BR4" s="21">
        <v>66</v>
      </c>
      <c r="BS4" s="21">
        <f t="shared" ref="BS4:BS17" si="14">SUM(BP4:BR4)</f>
        <v>96</v>
      </c>
      <c r="BT4" s="21" t="str">
        <f t="shared" ref="BT4:BT17" si="15">IF(BS4&gt;=70,"A",IF(BS4&gt;=60,"B",IF(BS4&gt;=50,"C",IF(BS4&gt;=45,"D",IF(BS4&gt;=40,"E","F")))))</f>
        <v>A</v>
      </c>
      <c r="BU4" s="21">
        <v>10</v>
      </c>
      <c r="BV4" s="16">
        <v>18</v>
      </c>
      <c r="BW4" s="21">
        <v>60</v>
      </c>
      <c r="BX4" s="21">
        <f>SUM(BU4:BW4)</f>
        <v>88</v>
      </c>
      <c r="BY4" s="21" t="str">
        <f t="shared" ref="BY4:BY17" si="16">IF(BX4&gt;=70,"A",IF(BX4&gt;=60,"B",IF(BX4&gt;=50,"C",IF(BX4&gt;=45,"D",IF(BX4&gt;=40,"E","F")))))</f>
        <v>A</v>
      </c>
      <c r="BZ4" s="21">
        <v>10</v>
      </c>
      <c r="CA4" s="16">
        <v>18</v>
      </c>
      <c r="CB4" s="21">
        <v>68</v>
      </c>
      <c r="CC4" s="21">
        <f>SUM(BZ4:CB4)</f>
        <v>96</v>
      </c>
      <c r="CD4" s="21" t="str">
        <f t="shared" ref="CD4:CD17" si="17">IF(CC4&gt;=70,"A",IF(CC4&gt;=60,"B",IF(CC4&gt;=50,"C",IF(CC4&gt;=45,"D",IF(CC4&gt;=40,"E","F")))))</f>
        <v>A</v>
      </c>
      <c r="CE4" s="21">
        <v>10</v>
      </c>
      <c r="CF4" s="16">
        <v>19</v>
      </c>
      <c r="CG4" s="21">
        <v>58</v>
      </c>
      <c r="CH4" s="21">
        <f>SUM(CE4:CG4)</f>
        <v>87</v>
      </c>
      <c r="CI4" s="21" t="str">
        <f t="shared" ref="CI4:CI17" si="18">IF(CH4&gt;=70,"A",IF(CH4&gt;=60,"B",IF(CH4&gt;=50,"C",IF(CH4&gt;=45,"D",IF(CH4&gt;=40,"E","F")))))</f>
        <v>A</v>
      </c>
      <c r="CJ4" s="21">
        <f>SUM(F4+K4+P4+U4+Z4+AE4+AJ4+AO4+CH4+AT4+AY4+BD4+BI4+BX4+CC4+BS4+BN4)</f>
        <v>1434.5</v>
      </c>
      <c r="CK4" s="21">
        <f>AVERAGE(F4,K4,P4,U4,Z4,AE4,AJ4,AO4,CH4,AT4,AY4,BD4,BI4,BX4,CC4,BS4,BN4)</f>
        <v>84.382352941176464</v>
      </c>
      <c r="CL4" s="22">
        <f>RANK(CK4,CK4:CK17,0)</f>
        <v>1</v>
      </c>
      <c r="CM4" s="14"/>
    </row>
    <row r="5" spans="1:91" ht="18.75" x14ac:dyDescent="0.25">
      <c r="A5" s="14">
        <v>2</v>
      </c>
      <c r="B5" s="14" t="s">
        <v>17</v>
      </c>
      <c r="C5" s="15">
        <v>10</v>
      </c>
      <c r="D5" s="16">
        <v>7</v>
      </c>
      <c r="E5" s="21">
        <v>8</v>
      </c>
      <c r="F5" s="21">
        <f t="shared" si="0"/>
        <v>25</v>
      </c>
      <c r="G5" s="21" t="str">
        <f>IF(F5&gt;=70,"A",IF(F5&gt;=60,"B",IF(F5&gt;=50,"C",IF(F5&gt;=45,"D",IF(F5&gt;=40,"E","F")))))</f>
        <v>F</v>
      </c>
      <c r="H5" s="21">
        <v>10</v>
      </c>
      <c r="I5" s="15">
        <v>18</v>
      </c>
      <c r="J5" s="21">
        <v>42</v>
      </c>
      <c r="K5" s="21">
        <f t="shared" ref="K5:K17" si="19">SUM(H5:J5)</f>
        <v>70</v>
      </c>
      <c r="L5" s="21" t="str">
        <f t="shared" si="1"/>
        <v>A</v>
      </c>
      <c r="M5" s="21">
        <v>10</v>
      </c>
      <c r="N5" s="15">
        <v>20</v>
      </c>
      <c r="O5" s="21">
        <v>40</v>
      </c>
      <c r="P5" s="21">
        <f t="shared" ref="P5:P17" si="20">SUM(M5:O5)</f>
        <v>70</v>
      </c>
      <c r="Q5" s="21" t="str">
        <f t="shared" si="2"/>
        <v>A</v>
      </c>
      <c r="R5" s="21">
        <v>10</v>
      </c>
      <c r="S5" s="16">
        <v>8</v>
      </c>
      <c r="T5" s="21">
        <v>25</v>
      </c>
      <c r="U5" s="21">
        <f t="shared" ref="U5:U17" si="21">SUM(R5:T5)</f>
        <v>43</v>
      </c>
      <c r="V5" s="21" t="str">
        <f t="shared" si="3"/>
        <v>E</v>
      </c>
      <c r="W5" s="21">
        <v>10</v>
      </c>
      <c r="X5" s="16">
        <v>5</v>
      </c>
      <c r="Y5" s="21">
        <v>49</v>
      </c>
      <c r="Z5" s="21">
        <f t="shared" ref="Z5:Z17" si="22">SUM(W5:Y5)</f>
        <v>64</v>
      </c>
      <c r="AA5" s="21" t="str">
        <f t="shared" si="4"/>
        <v>B</v>
      </c>
      <c r="AB5" s="21">
        <v>10</v>
      </c>
      <c r="AC5" s="16">
        <v>17</v>
      </c>
      <c r="AD5" s="21">
        <v>70</v>
      </c>
      <c r="AE5" s="21">
        <f t="shared" ref="AE5:AE17" si="23">SUM(AB5:AD5)</f>
        <v>97</v>
      </c>
      <c r="AF5" s="21" t="str">
        <f t="shared" si="5"/>
        <v>A</v>
      </c>
      <c r="AG5" s="21">
        <v>10</v>
      </c>
      <c r="AH5" s="16">
        <v>18</v>
      </c>
      <c r="AI5" s="21">
        <v>63</v>
      </c>
      <c r="AJ5" s="21">
        <f t="shared" ref="AJ5:AJ17" si="24">SUM(AG5:AI5)</f>
        <v>91</v>
      </c>
      <c r="AK5" s="21" t="str">
        <f t="shared" si="6"/>
        <v>A</v>
      </c>
      <c r="AL5" s="21">
        <v>10</v>
      </c>
      <c r="AM5" s="16">
        <v>17</v>
      </c>
      <c r="AN5" s="21">
        <v>35</v>
      </c>
      <c r="AO5" s="21">
        <f t="shared" ref="AO5:AO17" si="25">SUM(AL5:AN5)</f>
        <v>62</v>
      </c>
      <c r="AP5" s="21" t="str">
        <f t="shared" si="7"/>
        <v>B</v>
      </c>
      <c r="AQ5" s="21">
        <v>10</v>
      </c>
      <c r="AR5" s="16">
        <v>12</v>
      </c>
      <c r="AS5" s="21">
        <v>15</v>
      </c>
      <c r="AT5" s="21">
        <f t="shared" ref="AT5:AT17" si="26">SUM(AQ5:AS5)</f>
        <v>37</v>
      </c>
      <c r="AU5" s="21" t="str">
        <f t="shared" si="8"/>
        <v>F</v>
      </c>
      <c r="AV5" s="21">
        <v>10</v>
      </c>
      <c r="AW5" s="15">
        <v>20</v>
      </c>
      <c r="AX5" s="21">
        <v>42</v>
      </c>
      <c r="AY5" s="21">
        <f t="shared" ref="AY5:AY17" si="27">SUM(AV5:AX5)</f>
        <v>72</v>
      </c>
      <c r="AZ5" s="21" t="str">
        <f t="shared" si="9"/>
        <v>A</v>
      </c>
      <c r="BA5" s="21">
        <v>10</v>
      </c>
      <c r="BB5" s="16">
        <v>20</v>
      </c>
      <c r="BC5" s="21">
        <v>64</v>
      </c>
      <c r="BD5" s="21">
        <f t="shared" ref="BD5:BD17" si="28">SUM(BA5:BC5)</f>
        <v>94</v>
      </c>
      <c r="BE5" s="21" t="str">
        <f t="shared" si="10"/>
        <v>A</v>
      </c>
      <c r="BF5" s="21">
        <v>10</v>
      </c>
      <c r="BG5" s="16">
        <v>18</v>
      </c>
      <c r="BH5" s="21">
        <v>64</v>
      </c>
      <c r="BI5" s="21">
        <f t="shared" ref="BI5:BI17" si="29">SUM(BF5:BH5)</f>
        <v>92</v>
      </c>
      <c r="BJ5" s="21" t="str">
        <f t="shared" si="11"/>
        <v>A</v>
      </c>
      <c r="BK5" s="21">
        <v>10</v>
      </c>
      <c r="BL5" s="16"/>
      <c r="BM5" s="21"/>
      <c r="BN5" s="21">
        <f t="shared" si="12"/>
        <v>10</v>
      </c>
      <c r="BO5" s="21" t="str">
        <f t="shared" si="13"/>
        <v>F</v>
      </c>
      <c r="BP5" s="21">
        <v>10</v>
      </c>
      <c r="BQ5" s="16">
        <v>18</v>
      </c>
      <c r="BR5" s="21">
        <v>52</v>
      </c>
      <c r="BS5" s="21">
        <f t="shared" si="14"/>
        <v>80</v>
      </c>
      <c r="BT5" s="21" t="str">
        <f t="shared" si="15"/>
        <v>A</v>
      </c>
      <c r="BU5" s="21">
        <v>10</v>
      </c>
      <c r="BV5" s="16">
        <v>6</v>
      </c>
      <c r="BW5" s="21">
        <v>23</v>
      </c>
      <c r="BX5" s="21">
        <f t="shared" ref="BX5:BX17" si="30">SUM(BU5:BW5)</f>
        <v>39</v>
      </c>
      <c r="BY5" s="21" t="str">
        <f t="shared" si="16"/>
        <v>F</v>
      </c>
      <c r="BZ5" s="21">
        <v>10</v>
      </c>
      <c r="CA5" s="16">
        <v>10</v>
      </c>
      <c r="CB5" s="21">
        <v>30</v>
      </c>
      <c r="CC5" s="21">
        <f t="shared" ref="CC5:CC17" si="31">SUM(BZ5:CB5)</f>
        <v>50</v>
      </c>
      <c r="CD5" s="21" t="str">
        <f t="shared" si="17"/>
        <v>C</v>
      </c>
      <c r="CE5" s="21">
        <v>10</v>
      </c>
      <c r="CF5" s="16">
        <v>17</v>
      </c>
      <c r="CG5" s="21">
        <v>58</v>
      </c>
      <c r="CH5" s="21">
        <f t="shared" ref="CH5:CH17" si="32">SUM(CE5:CG5)</f>
        <v>85</v>
      </c>
      <c r="CI5" s="21" t="str">
        <f t="shared" si="18"/>
        <v>A</v>
      </c>
      <c r="CJ5" s="21">
        <f t="shared" ref="CJ5" si="33">SUM(F5+K5+P5+U5+Z5+AE5+AJ5+AO5+CH5+AT5+AY5+BD5+BI5+BX5+CC5+BS5+BN5)</f>
        <v>1081</v>
      </c>
      <c r="CK5" s="21">
        <f t="shared" ref="CK5:CK17" si="34">AVERAGE(F5,K5,P5,U5,Z5,AE5,AJ5,AO5,CH5,AT5,AY5,BD5,BI5,BX5,CC5,BS5,BN5)</f>
        <v>63.588235294117645</v>
      </c>
      <c r="CL5" s="22">
        <f>RANK(CK5,CK4:CK17,0)</f>
        <v>4</v>
      </c>
      <c r="CM5" s="14"/>
    </row>
    <row r="6" spans="1:91" ht="18.75" x14ac:dyDescent="0.25">
      <c r="A6" s="14">
        <v>3</v>
      </c>
      <c r="B6" s="14" t="s">
        <v>18</v>
      </c>
      <c r="C6" s="15">
        <v>10</v>
      </c>
      <c r="D6" s="16">
        <v>19</v>
      </c>
      <c r="E6" s="21">
        <v>22</v>
      </c>
      <c r="F6" s="21">
        <f t="shared" si="0"/>
        <v>51</v>
      </c>
      <c r="G6" s="21" t="str">
        <f t="shared" ref="G6:G17" si="35">IF(F6&gt;=70,"A",IF(F6&gt;=60,"B",IF(F6&gt;=50,"C",IF(F6&gt;=45,"D",IF(F6&gt;=40,"E","F")))))</f>
        <v>C</v>
      </c>
      <c r="H6" s="21">
        <v>10</v>
      </c>
      <c r="I6" s="15">
        <v>14</v>
      </c>
      <c r="J6" s="21">
        <v>42</v>
      </c>
      <c r="K6" s="21">
        <f t="shared" si="19"/>
        <v>66</v>
      </c>
      <c r="L6" s="21" t="str">
        <f t="shared" si="1"/>
        <v>B</v>
      </c>
      <c r="M6" s="21">
        <v>10</v>
      </c>
      <c r="N6" s="15">
        <v>20</v>
      </c>
      <c r="O6" s="21">
        <v>50</v>
      </c>
      <c r="P6" s="21">
        <f t="shared" si="20"/>
        <v>80</v>
      </c>
      <c r="Q6" s="21" t="str">
        <f t="shared" si="2"/>
        <v>A</v>
      </c>
      <c r="R6" s="21">
        <v>10</v>
      </c>
      <c r="S6" s="16">
        <v>18</v>
      </c>
      <c r="T6" s="21">
        <v>30</v>
      </c>
      <c r="U6" s="21">
        <f t="shared" si="21"/>
        <v>58</v>
      </c>
      <c r="V6" s="21" t="str">
        <f t="shared" si="3"/>
        <v>C</v>
      </c>
      <c r="W6" s="21">
        <v>10</v>
      </c>
      <c r="X6" s="16">
        <v>9</v>
      </c>
      <c r="Y6" s="21">
        <v>62</v>
      </c>
      <c r="Z6" s="21">
        <f t="shared" si="22"/>
        <v>81</v>
      </c>
      <c r="AA6" s="21" t="str">
        <f t="shared" si="4"/>
        <v>A</v>
      </c>
      <c r="AB6" s="21">
        <v>10</v>
      </c>
      <c r="AC6" s="16">
        <v>19</v>
      </c>
      <c r="AD6" s="21">
        <v>66</v>
      </c>
      <c r="AE6" s="21">
        <f t="shared" si="23"/>
        <v>95</v>
      </c>
      <c r="AF6" s="21" t="str">
        <f t="shared" si="5"/>
        <v>A</v>
      </c>
      <c r="AG6" s="21">
        <v>10</v>
      </c>
      <c r="AH6" s="16">
        <v>20</v>
      </c>
      <c r="AI6" s="21">
        <v>66</v>
      </c>
      <c r="AJ6" s="21">
        <f t="shared" si="24"/>
        <v>96</v>
      </c>
      <c r="AK6" s="21" t="str">
        <f t="shared" si="6"/>
        <v>A</v>
      </c>
      <c r="AL6" s="21">
        <v>10</v>
      </c>
      <c r="AM6" s="16">
        <v>15</v>
      </c>
      <c r="AN6" s="21">
        <v>48</v>
      </c>
      <c r="AO6" s="21">
        <f t="shared" si="25"/>
        <v>73</v>
      </c>
      <c r="AP6" s="21" t="str">
        <f t="shared" si="7"/>
        <v>A</v>
      </c>
      <c r="AQ6" s="21">
        <v>10</v>
      </c>
      <c r="AR6" s="16">
        <v>4</v>
      </c>
      <c r="AS6" s="21">
        <v>25</v>
      </c>
      <c r="AT6" s="21">
        <f t="shared" si="26"/>
        <v>39</v>
      </c>
      <c r="AU6" s="21" t="str">
        <f t="shared" ref="AU6:AU8" si="36">IF(AT6&gt;=70,"A",IF(AT6&gt;=60,"B",IF(AT6&gt;=50,"C",IF(AT6&gt;=45,"D",IF(AT6&gt;=40,"E","F")))))</f>
        <v>F</v>
      </c>
      <c r="AV6" s="21">
        <v>10</v>
      </c>
      <c r="AW6" s="15">
        <v>20</v>
      </c>
      <c r="AX6" s="21">
        <v>41</v>
      </c>
      <c r="AY6" s="21">
        <f t="shared" si="27"/>
        <v>71</v>
      </c>
      <c r="AZ6" s="21" t="str">
        <f t="shared" si="9"/>
        <v>A</v>
      </c>
      <c r="BA6" s="21">
        <v>10</v>
      </c>
      <c r="BB6" s="16">
        <v>20</v>
      </c>
      <c r="BC6" s="21">
        <v>68</v>
      </c>
      <c r="BD6" s="21">
        <f t="shared" si="28"/>
        <v>98</v>
      </c>
      <c r="BE6" s="21" t="str">
        <f t="shared" si="10"/>
        <v>A</v>
      </c>
      <c r="BF6" s="21">
        <v>10</v>
      </c>
      <c r="BG6" s="16">
        <v>18</v>
      </c>
      <c r="BH6" s="21">
        <v>68</v>
      </c>
      <c r="BI6" s="21">
        <f t="shared" si="29"/>
        <v>96</v>
      </c>
      <c r="BJ6" s="21" t="str">
        <f t="shared" si="11"/>
        <v>A</v>
      </c>
      <c r="BK6" s="21">
        <v>10</v>
      </c>
      <c r="BL6" s="16"/>
      <c r="BM6" s="21"/>
      <c r="BN6" s="21">
        <f t="shared" si="12"/>
        <v>10</v>
      </c>
      <c r="BO6" s="21" t="str">
        <f t="shared" si="13"/>
        <v>F</v>
      </c>
      <c r="BP6" s="21">
        <v>10</v>
      </c>
      <c r="BQ6" s="16">
        <v>20</v>
      </c>
      <c r="BR6" s="21">
        <v>69</v>
      </c>
      <c r="BS6" s="21">
        <f t="shared" si="14"/>
        <v>99</v>
      </c>
      <c r="BT6" s="21" t="str">
        <f t="shared" si="15"/>
        <v>A</v>
      </c>
      <c r="BU6" s="21">
        <v>10</v>
      </c>
      <c r="BV6" s="16">
        <v>8</v>
      </c>
      <c r="BW6" s="21">
        <v>61</v>
      </c>
      <c r="BX6" s="21">
        <f t="shared" si="30"/>
        <v>79</v>
      </c>
      <c r="BY6" s="21" t="str">
        <f t="shared" si="16"/>
        <v>A</v>
      </c>
      <c r="BZ6" s="21">
        <v>10</v>
      </c>
      <c r="CA6" s="16">
        <v>14</v>
      </c>
      <c r="CB6" s="21">
        <v>55</v>
      </c>
      <c r="CC6" s="21">
        <f t="shared" si="31"/>
        <v>79</v>
      </c>
      <c r="CD6" s="21" t="str">
        <f t="shared" si="17"/>
        <v>A</v>
      </c>
      <c r="CE6" s="21">
        <v>10</v>
      </c>
      <c r="CF6" s="16">
        <v>18</v>
      </c>
      <c r="CG6" s="21">
        <v>66</v>
      </c>
      <c r="CH6" s="21">
        <f t="shared" si="32"/>
        <v>94</v>
      </c>
      <c r="CI6" s="21" t="str">
        <f t="shared" si="18"/>
        <v>A</v>
      </c>
      <c r="CJ6" s="21">
        <f>SUM(F6+K6+P6+U6+Z6+AE6+AJ6+AO6+CH6+AT6+AY6+BD6+BI6+BX6+CC6+BS6+BN6)</f>
        <v>1265</v>
      </c>
      <c r="CK6" s="21">
        <f t="shared" si="34"/>
        <v>74.411764705882348</v>
      </c>
      <c r="CL6" s="22">
        <f>RANK(CK6,CK4:CK17,0)</f>
        <v>2</v>
      </c>
      <c r="CM6" s="14"/>
    </row>
    <row r="7" spans="1:91" ht="18.75" x14ac:dyDescent="0.25">
      <c r="A7" s="14">
        <v>4</v>
      </c>
      <c r="B7" s="14" t="s">
        <v>5</v>
      </c>
      <c r="C7" s="15">
        <v>10</v>
      </c>
      <c r="D7" s="16">
        <v>6</v>
      </c>
      <c r="E7" s="21">
        <v>11</v>
      </c>
      <c r="F7" s="21">
        <f t="shared" si="0"/>
        <v>27</v>
      </c>
      <c r="G7" s="21" t="str">
        <f t="shared" si="35"/>
        <v>F</v>
      </c>
      <c r="H7" s="21">
        <v>10</v>
      </c>
      <c r="I7" s="15">
        <v>16</v>
      </c>
      <c r="J7" s="21">
        <v>28</v>
      </c>
      <c r="K7" s="21">
        <f t="shared" si="19"/>
        <v>54</v>
      </c>
      <c r="L7" s="21" t="str">
        <f t="shared" si="1"/>
        <v>C</v>
      </c>
      <c r="M7" s="21">
        <v>10</v>
      </c>
      <c r="N7" s="15">
        <v>20</v>
      </c>
      <c r="O7" s="21">
        <v>45</v>
      </c>
      <c r="P7" s="21">
        <f t="shared" si="20"/>
        <v>75</v>
      </c>
      <c r="Q7" s="21" t="str">
        <f t="shared" si="2"/>
        <v>A</v>
      </c>
      <c r="R7" s="21">
        <v>10</v>
      </c>
      <c r="S7" s="16">
        <v>16</v>
      </c>
      <c r="T7" s="21">
        <v>33</v>
      </c>
      <c r="U7" s="21">
        <f t="shared" si="21"/>
        <v>59</v>
      </c>
      <c r="V7" s="21" t="str">
        <f t="shared" si="3"/>
        <v>C</v>
      </c>
      <c r="W7" s="21">
        <v>10</v>
      </c>
      <c r="X7" s="16">
        <v>10</v>
      </c>
      <c r="Y7" s="21">
        <v>39</v>
      </c>
      <c r="Z7" s="21">
        <f t="shared" si="22"/>
        <v>59</v>
      </c>
      <c r="AA7" s="21" t="str">
        <f t="shared" si="4"/>
        <v>C</v>
      </c>
      <c r="AB7" s="21">
        <v>10</v>
      </c>
      <c r="AC7" s="16">
        <v>14</v>
      </c>
      <c r="AD7" s="21">
        <v>52</v>
      </c>
      <c r="AE7" s="21">
        <f t="shared" si="23"/>
        <v>76</v>
      </c>
      <c r="AF7" s="21" t="str">
        <f t="shared" si="5"/>
        <v>A</v>
      </c>
      <c r="AG7" s="21">
        <v>10</v>
      </c>
      <c r="AH7" s="16">
        <v>18</v>
      </c>
      <c r="AI7" s="21">
        <v>63</v>
      </c>
      <c r="AJ7" s="21">
        <f t="shared" si="24"/>
        <v>91</v>
      </c>
      <c r="AK7" s="21" t="str">
        <f t="shared" si="6"/>
        <v>A</v>
      </c>
      <c r="AL7" s="21">
        <v>10</v>
      </c>
      <c r="AM7" s="16">
        <v>9</v>
      </c>
      <c r="AN7" s="21">
        <v>45</v>
      </c>
      <c r="AO7" s="21">
        <f t="shared" si="25"/>
        <v>64</v>
      </c>
      <c r="AP7" s="21" t="str">
        <f t="shared" si="7"/>
        <v>B</v>
      </c>
      <c r="AQ7" s="21">
        <v>10</v>
      </c>
      <c r="AR7" s="16">
        <v>1</v>
      </c>
      <c r="AS7" s="21">
        <v>8</v>
      </c>
      <c r="AT7" s="21">
        <f t="shared" si="26"/>
        <v>19</v>
      </c>
      <c r="AU7" s="21" t="str">
        <f t="shared" si="36"/>
        <v>F</v>
      </c>
      <c r="AV7" s="21">
        <v>10</v>
      </c>
      <c r="AW7" s="15">
        <v>20</v>
      </c>
      <c r="AX7" s="21">
        <v>35</v>
      </c>
      <c r="AY7" s="21">
        <f t="shared" si="27"/>
        <v>65</v>
      </c>
      <c r="AZ7" s="21" t="str">
        <f t="shared" si="9"/>
        <v>B</v>
      </c>
      <c r="BA7" s="21">
        <v>10</v>
      </c>
      <c r="BB7" s="16">
        <v>20</v>
      </c>
      <c r="BC7" s="21">
        <v>59</v>
      </c>
      <c r="BD7" s="21">
        <f t="shared" si="28"/>
        <v>89</v>
      </c>
      <c r="BE7" s="21" t="str">
        <f t="shared" si="10"/>
        <v>A</v>
      </c>
      <c r="BF7" s="21">
        <v>10</v>
      </c>
      <c r="BG7" s="16">
        <v>13</v>
      </c>
      <c r="BH7" s="21">
        <v>64</v>
      </c>
      <c r="BI7" s="21">
        <f t="shared" si="29"/>
        <v>87</v>
      </c>
      <c r="BJ7" s="21" t="str">
        <f t="shared" si="11"/>
        <v>A</v>
      </c>
      <c r="BK7" s="21">
        <v>10</v>
      </c>
      <c r="BL7" s="16"/>
      <c r="BM7" s="21"/>
      <c r="BN7" s="21">
        <f t="shared" si="12"/>
        <v>10</v>
      </c>
      <c r="BO7" s="21" t="str">
        <f t="shared" si="13"/>
        <v>F</v>
      </c>
      <c r="BP7" s="21">
        <v>10</v>
      </c>
      <c r="BQ7" s="16">
        <v>13</v>
      </c>
      <c r="BR7" s="21">
        <v>56</v>
      </c>
      <c r="BS7" s="21">
        <f t="shared" si="14"/>
        <v>79</v>
      </c>
      <c r="BT7" s="21" t="str">
        <f t="shared" si="15"/>
        <v>A</v>
      </c>
      <c r="BU7" s="21">
        <v>10</v>
      </c>
      <c r="BV7" s="16">
        <v>6</v>
      </c>
      <c r="BW7" s="21">
        <v>39</v>
      </c>
      <c r="BX7" s="21">
        <f t="shared" si="30"/>
        <v>55</v>
      </c>
      <c r="BY7" s="21" t="str">
        <f t="shared" si="16"/>
        <v>C</v>
      </c>
      <c r="BZ7" s="21">
        <v>10</v>
      </c>
      <c r="CA7" s="16">
        <v>0</v>
      </c>
      <c r="CB7" s="21">
        <v>40</v>
      </c>
      <c r="CC7" s="21">
        <f t="shared" si="31"/>
        <v>50</v>
      </c>
      <c r="CD7" s="21" t="str">
        <f t="shared" si="17"/>
        <v>C</v>
      </c>
      <c r="CE7" s="21">
        <v>10</v>
      </c>
      <c r="CF7" s="16">
        <v>15</v>
      </c>
      <c r="CG7" s="21">
        <v>56</v>
      </c>
      <c r="CH7" s="21">
        <f t="shared" si="32"/>
        <v>81</v>
      </c>
      <c r="CI7" s="21" t="str">
        <f t="shared" si="18"/>
        <v>A</v>
      </c>
      <c r="CJ7" s="21">
        <f t="shared" ref="CJ7:CJ17" si="37">SUM(F7+K7+P7+U7+Z7+AE7+AJ7+AO7+CH7+AT7+AY7+BD7+BI7+BX7+CC7+BS7+BN7)</f>
        <v>1040</v>
      </c>
      <c r="CK7" s="21">
        <f t="shared" si="34"/>
        <v>61.176470588235297</v>
      </c>
      <c r="CL7" s="22">
        <f>RANK(CK7,CK4:CK17,0)</f>
        <v>5</v>
      </c>
      <c r="CM7" s="14"/>
    </row>
    <row r="8" spans="1:91" ht="18.75" x14ac:dyDescent="0.25">
      <c r="A8" s="14">
        <v>5</v>
      </c>
      <c r="B8" s="14" t="s">
        <v>19</v>
      </c>
      <c r="C8" s="15">
        <v>10</v>
      </c>
      <c r="D8" s="16">
        <v>8</v>
      </c>
      <c r="E8" s="21">
        <v>16</v>
      </c>
      <c r="F8" s="21">
        <f t="shared" si="0"/>
        <v>34</v>
      </c>
      <c r="G8" s="21" t="str">
        <f t="shared" si="35"/>
        <v>F</v>
      </c>
      <c r="H8" s="21">
        <v>10</v>
      </c>
      <c r="I8" s="15">
        <v>18</v>
      </c>
      <c r="J8" s="21">
        <v>23</v>
      </c>
      <c r="K8" s="21">
        <f t="shared" si="19"/>
        <v>51</v>
      </c>
      <c r="L8" s="21" t="str">
        <f t="shared" si="1"/>
        <v>C</v>
      </c>
      <c r="M8" s="21">
        <v>10</v>
      </c>
      <c r="N8" s="15">
        <v>20</v>
      </c>
      <c r="O8" s="21">
        <v>15</v>
      </c>
      <c r="P8" s="21">
        <f t="shared" si="20"/>
        <v>45</v>
      </c>
      <c r="Q8" s="21" t="str">
        <f t="shared" si="2"/>
        <v>D</v>
      </c>
      <c r="R8" s="21">
        <v>10</v>
      </c>
      <c r="S8" s="16">
        <v>12</v>
      </c>
      <c r="T8" s="21">
        <v>20</v>
      </c>
      <c r="U8" s="21">
        <f t="shared" si="21"/>
        <v>42</v>
      </c>
      <c r="V8" s="21" t="str">
        <f t="shared" si="3"/>
        <v>E</v>
      </c>
      <c r="W8" s="21">
        <v>10</v>
      </c>
      <c r="X8" s="16">
        <v>0</v>
      </c>
      <c r="Y8" s="21">
        <v>52</v>
      </c>
      <c r="Z8" s="21">
        <f t="shared" si="22"/>
        <v>62</v>
      </c>
      <c r="AA8" s="21" t="str">
        <f t="shared" si="4"/>
        <v>B</v>
      </c>
      <c r="AB8" s="21">
        <v>10</v>
      </c>
      <c r="AC8" s="16">
        <v>11</v>
      </c>
      <c r="AD8" s="21">
        <v>57</v>
      </c>
      <c r="AE8" s="21">
        <f t="shared" si="23"/>
        <v>78</v>
      </c>
      <c r="AF8" s="21" t="str">
        <f t="shared" si="5"/>
        <v>A</v>
      </c>
      <c r="AG8" s="21">
        <v>10</v>
      </c>
      <c r="AH8" s="16">
        <v>13</v>
      </c>
      <c r="AI8" s="21">
        <v>62</v>
      </c>
      <c r="AJ8" s="21">
        <f t="shared" si="24"/>
        <v>85</v>
      </c>
      <c r="AK8" s="21" t="str">
        <f t="shared" si="6"/>
        <v>A</v>
      </c>
      <c r="AL8" s="21">
        <v>10</v>
      </c>
      <c r="AM8" s="16">
        <v>5</v>
      </c>
      <c r="AN8" s="21">
        <v>23</v>
      </c>
      <c r="AO8" s="21">
        <f t="shared" si="25"/>
        <v>38</v>
      </c>
      <c r="AP8" s="21" t="str">
        <f t="shared" si="7"/>
        <v>F</v>
      </c>
      <c r="AQ8" s="21">
        <v>10</v>
      </c>
      <c r="AR8" s="16">
        <v>2</v>
      </c>
      <c r="AS8" s="21">
        <v>8</v>
      </c>
      <c r="AT8" s="21">
        <f t="shared" si="26"/>
        <v>20</v>
      </c>
      <c r="AU8" s="21" t="str">
        <f t="shared" si="36"/>
        <v>F</v>
      </c>
      <c r="AV8" s="21">
        <v>10</v>
      </c>
      <c r="AW8" s="15">
        <v>20</v>
      </c>
      <c r="AX8" s="21">
        <v>21</v>
      </c>
      <c r="AY8" s="21">
        <f t="shared" si="27"/>
        <v>51</v>
      </c>
      <c r="AZ8" s="21" t="str">
        <f t="shared" si="9"/>
        <v>C</v>
      </c>
      <c r="BA8" s="21">
        <v>10</v>
      </c>
      <c r="BB8" s="16">
        <v>20</v>
      </c>
      <c r="BC8" s="21">
        <v>62</v>
      </c>
      <c r="BD8" s="21">
        <f t="shared" si="28"/>
        <v>92</v>
      </c>
      <c r="BE8" s="21" t="str">
        <f t="shared" si="10"/>
        <v>A</v>
      </c>
      <c r="BF8" s="21">
        <v>10</v>
      </c>
      <c r="BG8" s="16">
        <v>17</v>
      </c>
      <c r="BH8" s="21">
        <v>47</v>
      </c>
      <c r="BI8" s="21">
        <f t="shared" si="29"/>
        <v>74</v>
      </c>
      <c r="BJ8" s="21" t="str">
        <f t="shared" si="11"/>
        <v>A</v>
      </c>
      <c r="BK8" s="21">
        <v>10</v>
      </c>
      <c r="BL8" s="16"/>
      <c r="BM8" s="21"/>
      <c r="BN8" s="21">
        <f t="shared" si="12"/>
        <v>10</v>
      </c>
      <c r="BO8" s="21" t="str">
        <f t="shared" si="13"/>
        <v>F</v>
      </c>
      <c r="BP8" s="21">
        <v>10</v>
      </c>
      <c r="BQ8" s="16">
        <v>13</v>
      </c>
      <c r="BR8" s="21">
        <v>44</v>
      </c>
      <c r="BS8" s="21">
        <f t="shared" si="14"/>
        <v>67</v>
      </c>
      <c r="BT8" s="21" t="str">
        <f t="shared" si="15"/>
        <v>B</v>
      </c>
      <c r="BU8" s="21">
        <v>10</v>
      </c>
      <c r="BV8" s="16">
        <v>2</v>
      </c>
      <c r="BW8" s="21">
        <v>26</v>
      </c>
      <c r="BX8" s="21">
        <f t="shared" si="30"/>
        <v>38</v>
      </c>
      <c r="BY8" s="21" t="str">
        <f t="shared" si="16"/>
        <v>F</v>
      </c>
      <c r="BZ8" s="21">
        <v>10</v>
      </c>
      <c r="CA8" s="16">
        <v>1</v>
      </c>
      <c r="CB8" s="21">
        <v>13</v>
      </c>
      <c r="CC8" s="21">
        <f t="shared" si="31"/>
        <v>24</v>
      </c>
      <c r="CD8" s="21" t="str">
        <f t="shared" si="17"/>
        <v>F</v>
      </c>
      <c r="CE8" s="21">
        <v>10</v>
      </c>
      <c r="CF8" s="16">
        <v>13</v>
      </c>
      <c r="CG8" s="21">
        <v>45</v>
      </c>
      <c r="CH8" s="21">
        <f t="shared" si="32"/>
        <v>68</v>
      </c>
      <c r="CI8" s="21" t="str">
        <f t="shared" si="18"/>
        <v>B</v>
      </c>
      <c r="CJ8" s="21">
        <f t="shared" si="37"/>
        <v>879</v>
      </c>
      <c r="CK8" s="21">
        <f t="shared" si="34"/>
        <v>51.705882352941174</v>
      </c>
      <c r="CL8" s="22">
        <f>RANK(CK8,CK4:CK17,0)</f>
        <v>10</v>
      </c>
      <c r="CM8" s="14"/>
    </row>
    <row r="9" spans="1:91" ht="18.75" x14ac:dyDescent="0.25">
      <c r="A9" s="14">
        <v>6</v>
      </c>
      <c r="B9" s="14" t="s">
        <v>7</v>
      </c>
      <c r="C9" s="15">
        <v>10</v>
      </c>
      <c r="D9" s="16">
        <v>10</v>
      </c>
      <c r="E9" s="21">
        <v>8</v>
      </c>
      <c r="F9" s="21">
        <f t="shared" si="0"/>
        <v>28</v>
      </c>
      <c r="G9" s="21" t="str">
        <f t="shared" si="35"/>
        <v>F</v>
      </c>
      <c r="H9" s="21">
        <v>10</v>
      </c>
      <c r="I9" s="15">
        <v>10</v>
      </c>
      <c r="J9" s="21">
        <v>0</v>
      </c>
      <c r="K9" s="21">
        <f t="shared" si="19"/>
        <v>20</v>
      </c>
      <c r="L9" s="21" t="str">
        <f t="shared" si="1"/>
        <v>F</v>
      </c>
      <c r="M9" s="21">
        <v>10</v>
      </c>
      <c r="N9" s="15">
        <v>20</v>
      </c>
      <c r="O9" s="21"/>
      <c r="P9" s="21">
        <f t="shared" si="20"/>
        <v>30</v>
      </c>
      <c r="Q9" s="21" t="str">
        <f t="shared" si="2"/>
        <v>F</v>
      </c>
      <c r="R9" s="21">
        <v>10</v>
      </c>
      <c r="S9" s="16">
        <v>7</v>
      </c>
      <c r="T9" s="21">
        <v>25</v>
      </c>
      <c r="U9" s="21">
        <f t="shared" si="21"/>
        <v>42</v>
      </c>
      <c r="V9" s="21" t="str">
        <f t="shared" si="3"/>
        <v>E</v>
      </c>
      <c r="W9" s="21">
        <v>10</v>
      </c>
      <c r="X9" s="16">
        <v>4</v>
      </c>
      <c r="Y9" s="21">
        <v>0</v>
      </c>
      <c r="Z9" s="21">
        <f t="shared" si="22"/>
        <v>14</v>
      </c>
      <c r="AA9" s="21" t="str">
        <f t="shared" si="4"/>
        <v>F</v>
      </c>
      <c r="AB9" s="21">
        <v>10</v>
      </c>
      <c r="AC9" s="16">
        <v>16</v>
      </c>
      <c r="AD9" s="21">
        <v>0</v>
      </c>
      <c r="AE9" s="21">
        <f t="shared" si="23"/>
        <v>26</v>
      </c>
      <c r="AF9" s="21" t="str">
        <f t="shared" si="5"/>
        <v>F</v>
      </c>
      <c r="AG9" s="21">
        <v>10</v>
      </c>
      <c r="AH9" s="16">
        <v>13</v>
      </c>
      <c r="AI9" s="21">
        <v>62</v>
      </c>
      <c r="AJ9" s="21">
        <f t="shared" si="24"/>
        <v>85</v>
      </c>
      <c r="AK9" s="21" t="str">
        <f t="shared" si="6"/>
        <v>A</v>
      </c>
      <c r="AL9" s="21">
        <v>10</v>
      </c>
      <c r="AM9" s="16">
        <v>12</v>
      </c>
      <c r="AN9" s="21">
        <v>32</v>
      </c>
      <c r="AO9" s="21">
        <f t="shared" si="25"/>
        <v>54</v>
      </c>
      <c r="AP9" s="21" t="str">
        <f t="shared" si="7"/>
        <v>C</v>
      </c>
      <c r="AQ9" s="21">
        <v>10</v>
      </c>
      <c r="AR9" s="16">
        <v>12</v>
      </c>
      <c r="AS9" s="21">
        <v>18</v>
      </c>
      <c r="AT9" s="21">
        <f t="shared" si="26"/>
        <v>40</v>
      </c>
      <c r="AU9" s="21" t="str">
        <f t="shared" ref="AU9:AU17" si="38">IF(AT9&gt;=70,"A",IF(AT9&gt;=60,"B",IF(AT9&gt;=50,"C",IF(AT9&gt;=45,"D",IF(AT9&gt;=40,"E","F")))))</f>
        <v>E</v>
      </c>
      <c r="AV9" s="21">
        <v>10</v>
      </c>
      <c r="AW9" s="15">
        <v>20</v>
      </c>
      <c r="AX9" s="21">
        <v>12</v>
      </c>
      <c r="AY9" s="21">
        <f t="shared" si="27"/>
        <v>42</v>
      </c>
      <c r="AZ9" s="21" t="str">
        <f t="shared" si="9"/>
        <v>E</v>
      </c>
      <c r="BA9" s="21">
        <v>10</v>
      </c>
      <c r="BB9" s="16">
        <v>19</v>
      </c>
      <c r="BC9" s="21">
        <v>64</v>
      </c>
      <c r="BD9" s="21">
        <f t="shared" si="28"/>
        <v>93</v>
      </c>
      <c r="BE9" s="21" t="str">
        <f t="shared" si="10"/>
        <v>A</v>
      </c>
      <c r="BF9" s="21">
        <v>10</v>
      </c>
      <c r="BG9" s="16">
        <v>18</v>
      </c>
      <c r="BH9" s="21">
        <v>64</v>
      </c>
      <c r="BI9" s="21">
        <f t="shared" si="29"/>
        <v>92</v>
      </c>
      <c r="BJ9" s="21" t="str">
        <f t="shared" si="11"/>
        <v>A</v>
      </c>
      <c r="BK9" s="21">
        <v>10</v>
      </c>
      <c r="BL9" s="16"/>
      <c r="BM9" s="21"/>
      <c r="BN9" s="21">
        <f t="shared" si="12"/>
        <v>10</v>
      </c>
      <c r="BO9" s="21" t="str">
        <f t="shared" si="13"/>
        <v>F</v>
      </c>
      <c r="BP9" s="21">
        <v>10</v>
      </c>
      <c r="BQ9" s="16">
        <v>17</v>
      </c>
      <c r="BR9" s="21">
        <v>56</v>
      </c>
      <c r="BS9" s="21">
        <f t="shared" si="14"/>
        <v>83</v>
      </c>
      <c r="BT9" s="21" t="str">
        <f t="shared" si="15"/>
        <v>A</v>
      </c>
      <c r="BU9" s="21">
        <v>10</v>
      </c>
      <c r="BV9" s="16">
        <v>10</v>
      </c>
      <c r="BW9" s="21">
        <v>32</v>
      </c>
      <c r="BX9" s="21">
        <f t="shared" si="30"/>
        <v>52</v>
      </c>
      <c r="BY9" s="21" t="str">
        <f t="shared" si="16"/>
        <v>C</v>
      </c>
      <c r="BZ9" s="21">
        <v>10</v>
      </c>
      <c r="CA9" s="16">
        <v>11</v>
      </c>
      <c r="CB9" s="21">
        <v>0</v>
      </c>
      <c r="CC9" s="21">
        <f t="shared" si="31"/>
        <v>21</v>
      </c>
      <c r="CD9" s="21" t="str">
        <f t="shared" si="17"/>
        <v>F</v>
      </c>
      <c r="CE9" s="21">
        <v>10</v>
      </c>
      <c r="CF9" s="16">
        <v>17</v>
      </c>
      <c r="CG9" s="21">
        <v>49</v>
      </c>
      <c r="CH9" s="21">
        <f t="shared" si="32"/>
        <v>76</v>
      </c>
      <c r="CI9" s="21" t="str">
        <f t="shared" si="18"/>
        <v>A</v>
      </c>
      <c r="CJ9" s="21">
        <f t="shared" si="37"/>
        <v>808</v>
      </c>
      <c r="CK9" s="21">
        <f t="shared" si="34"/>
        <v>47.529411764705884</v>
      </c>
      <c r="CL9" s="22">
        <f>RANK(CK9,CK4:CK17,0)</f>
        <v>11</v>
      </c>
      <c r="CM9" s="14"/>
    </row>
    <row r="10" spans="1:91" ht="18.75" x14ac:dyDescent="0.25">
      <c r="A10" s="14">
        <v>7</v>
      </c>
      <c r="B10" s="14" t="s">
        <v>20</v>
      </c>
      <c r="C10" s="15">
        <v>10</v>
      </c>
      <c r="D10" s="16">
        <v>6</v>
      </c>
      <c r="E10" s="21">
        <v>10</v>
      </c>
      <c r="F10" s="21">
        <f t="shared" si="0"/>
        <v>26</v>
      </c>
      <c r="G10" s="21" t="str">
        <f t="shared" si="35"/>
        <v>F</v>
      </c>
      <c r="H10" s="21">
        <v>10</v>
      </c>
      <c r="I10" s="15">
        <v>16</v>
      </c>
      <c r="J10" s="21">
        <v>23</v>
      </c>
      <c r="K10" s="21">
        <f t="shared" si="19"/>
        <v>49</v>
      </c>
      <c r="L10" s="21" t="str">
        <f t="shared" si="1"/>
        <v>D</v>
      </c>
      <c r="M10" s="21">
        <v>10</v>
      </c>
      <c r="N10" s="15">
        <v>20</v>
      </c>
      <c r="O10" s="21">
        <v>10</v>
      </c>
      <c r="P10" s="21">
        <f t="shared" si="20"/>
        <v>40</v>
      </c>
      <c r="Q10" s="21" t="str">
        <f t="shared" si="2"/>
        <v>E</v>
      </c>
      <c r="R10" s="21">
        <v>10</v>
      </c>
      <c r="S10" s="16">
        <v>8</v>
      </c>
      <c r="T10" s="21">
        <v>10</v>
      </c>
      <c r="U10" s="21">
        <f t="shared" si="21"/>
        <v>28</v>
      </c>
      <c r="V10" s="21" t="str">
        <f t="shared" si="3"/>
        <v>F</v>
      </c>
      <c r="W10" s="21">
        <v>10</v>
      </c>
      <c r="X10" s="16">
        <v>6</v>
      </c>
      <c r="Y10" s="21">
        <v>27</v>
      </c>
      <c r="Z10" s="21">
        <f t="shared" si="22"/>
        <v>43</v>
      </c>
      <c r="AA10" s="21" t="str">
        <f t="shared" si="4"/>
        <v>E</v>
      </c>
      <c r="AB10" s="21">
        <v>10</v>
      </c>
      <c r="AC10" s="16">
        <v>2</v>
      </c>
      <c r="AD10" s="21">
        <v>31</v>
      </c>
      <c r="AE10" s="21">
        <f t="shared" si="23"/>
        <v>43</v>
      </c>
      <c r="AF10" s="21" t="str">
        <f t="shared" si="5"/>
        <v>E</v>
      </c>
      <c r="AG10" s="21">
        <v>10</v>
      </c>
      <c r="AH10" s="16">
        <v>10</v>
      </c>
      <c r="AI10" s="21">
        <v>39</v>
      </c>
      <c r="AJ10" s="21">
        <f t="shared" si="24"/>
        <v>59</v>
      </c>
      <c r="AK10" s="21" t="str">
        <f t="shared" si="6"/>
        <v>C</v>
      </c>
      <c r="AL10" s="21">
        <v>10</v>
      </c>
      <c r="AM10" s="16">
        <v>3</v>
      </c>
      <c r="AN10" s="21">
        <v>24</v>
      </c>
      <c r="AO10" s="21">
        <f t="shared" si="25"/>
        <v>37</v>
      </c>
      <c r="AP10" s="21" t="str">
        <f t="shared" si="7"/>
        <v>F</v>
      </c>
      <c r="AQ10" s="21">
        <v>10</v>
      </c>
      <c r="AR10" s="16">
        <v>0.5</v>
      </c>
      <c r="AS10" s="21">
        <v>25</v>
      </c>
      <c r="AT10" s="21">
        <f t="shared" si="26"/>
        <v>35.5</v>
      </c>
      <c r="AU10" s="21" t="str">
        <f t="shared" si="38"/>
        <v>F</v>
      </c>
      <c r="AV10" s="21">
        <v>10</v>
      </c>
      <c r="AW10" s="15">
        <v>20</v>
      </c>
      <c r="AX10" s="21">
        <v>37</v>
      </c>
      <c r="AY10" s="21">
        <f t="shared" si="27"/>
        <v>67</v>
      </c>
      <c r="AZ10" s="21" t="str">
        <f t="shared" si="9"/>
        <v>B</v>
      </c>
      <c r="BA10" s="21">
        <v>10</v>
      </c>
      <c r="BB10" s="16">
        <v>16</v>
      </c>
      <c r="BC10" s="21">
        <v>50</v>
      </c>
      <c r="BD10" s="21">
        <f t="shared" si="28"/>
        <v>76</v>
      </c>
      <c r="BE10" s="21" t="str">
        <f t="shared" si="10"/>
        <v>A</v>
      </c>
      <c r="BF10" s="21">
        <v>10</v>
      </c>
      <c r="BG10" s="16">
        <v>5</v>
      </c>
      <c r="BH10" s="21">
        <v>30</v>
      </c>
      <c r="BI10" s="21">
        <f t="shared" si="29"/>
        <v>45</v>
      </c>
      <c r="BJ10" s="21" t="str">
        <f t="shared" si="11"/>
        <v>D</v>
      </c>
      <c r="BK10" s="21">
        <v>10</v>
      </c>
      <c r="BL10" s="16"/>
      <c r="BM10" s="21"/>
      <c r="BN10" s="21">
        <f t="shared" si="12"/>
        <v>10</v>
      </c>
      <c r="BO10" s="21" t="str">
        <f t="shared" si="13"/>
        <v>F</v>
      </c>
      <c r="BP10" s="21">
        <v>10</v>
      </c>
      <c r="BQ10" s="16">
        <v>12</v>
      </c>
      <c r="BR10" s="21">
        <v>27</v>
      </c>
      <c r="BS10" s="21">
        <f t="shared" si="14"/>
        <v>49</v>
      </c>
      <c r="BT10" s="21" t="str">
        <f t="shared" si="15"/>
        <v>D</v>
      </c>
      <c r="BU10" s="21">
        <v>10</v>
      </c>
      <c r="BV10" s="16">
        <v>2</v>
      </c>
      <c r="BW10" s="21">
        <v>15</v>
      </c>
      <c r="BX10" s="21">
        <f t="shared" si="30"/>
        <v>27</v>
      </c>
      <c r="BY10" s="21" t="str">
        <f t="shared" si="16"/>
        <v>F</v>
      </c>
      <c r="BZ10" s="21">
        <v>10</v>
      </c>
      <c r="CA10" s="16">
        <v>2</v>
      </c>
      <c r="CB10" s="21">
        <v>10</v>
      </c>
      <c r="CC10" s="21">
        <f t="shared" si="31"/>
        <v>22</v>
      </c>
      <c r="CD10" s="21" t="str">
        <f t="shared" si="17"/>
        <v>F</v>
      </c>
      <c r="CE10" s="21">
        <v>10</v>
      </c>
      <c r="CF10" s="16">
        <v>12</v>
      </c>
      <c r="CG10" s="21">
        <v>26</v>
      </c>
      <c r="CH10" s="21">
        <f t="shared" si="32"/>
        <v>48</v>
      </c>
      <c r="CI10" s="21" t="str">
        <f t="shared" si="18"/>
        <v>D</v>
      </c>
      <c r="CJ10" s="21">
        <f t="shared" si="37"/>
        <v>704.5</v>
      </c>
      <c r="CK10" s="21">
        <f t="shared" si="34"/>
        <v>41.441176470588232</v>
      </c>
      <c r="CL10" s="22">
        <f>RANK(CK10,CK4:CK17,0)</f>
        <v>13</v>
      </c>
      <c r="CM10" s="14"/>
    </row>
    <row r="11" spans="1:91" ht="18.75" x14ac:dyDescent="0.25">
      <c r="A11" s="14">
        <v>8</v>
      </c>
      <c r="B11" s="14" t="s">
        <v>48</v>
      </c>
      <c r="C11" s="15">
        <v>10</v>
      </c>
      <c r="D11" s="16">
        <v>6</v>
      </c>
      <c r="E11" s="26">
        <v>14</v>
      </c>
      <c r="F11" s="21">
        <f t="shared" si="0"/>
        <v>30</v>
      </c>
      <c r="G11" s="21" t="str">
        <f t="shared" si="35"/>
        <v>F</v>
      </c>
      <c r="H11" s="21">
        <v>10</v>
      </c>
      <c r="I11" s="15">
        <v>14</v>
      </c>
      <c r="J11" s="17">
        <v>26</v>
      </c>
      <c r="K11" s="21">
        <f t="shared" si="19"/>
        <v>50</v>
      </c>
      <c r="L11" s="21" t="str">
        <f t="shared" si="1"/>
        <v>C</v>
      </c>
      <c r="M11" s="21">
        <v>10</v>
      </c>
      <c r="N11" s="15">
        <v>20</v>
      </c>
      <c r="O11" s="17">
        <v>50</v>
      </c>
      <c r="P11" s="21">
        <f t="shared" si="20"/>
        <v>80</v>
      </c>
      <c r="Q11" s="21" t="str">
        <f t="shared" si="2"/>
        <v>A</v>
      </c>
      <c r="R11" s="21">
        <v>10</v>
      </c>
      <c r="S11" s="16">
        <v>16</v>
      </c>
      <c r="T11" s="17">
        <v>26</v>
      </c>
      <c r="U11" s="21">
        <f t="shared" si="21"/>
        <v>52</v>
      </c>
      <c r="V11" s="21" t="str">
        <f t="shared" si="3"/>
        <v>C</v>
      </c>
      <c r="W11" s="21">
        <v>10</v>
      </c>
      <c r="X11" s="16">
        <v>7</v>
      </c>
      <c r="Y11" s="17">
        <v>34</v>
      </c>
      <c r="Z11" s="21">
        <f t="shared" si="22"/>
        <v>51</v>
      </c>
      <c r="AA11" s="21" t="str">
        <f t="shared" si="4"/>
        <v>C</v>
      </c>
      <c r="AB11" s="21">
        <v>10</v>
      </c>
      <c r="AC11" s="16">
        <v>10</v>
      </c>
      <c r="AD11" s="17">
        <v>36</v>
      </c>
      <c r="AE11" s="21">
        <f t="shared" si="23"/>
        <v>56</v>
      </c>
      <c r="AF11" s="21" t="str">
        <f t="shared" si="5"/>
        <v>C</v>
      </c>
      <c r="AG11" s="21">
        <v>10</v>
      </c>
      <c r="AH11" s="16">
        <v>14</v>
      </c>
      <c r="AI11" s="17">
        <v>54</v>
      </c>
      <c r="AJ11" s="21">
        <f t="shared" si="24"/>
        <v>78</v>
      </c>
      <c r="AK11" s="21" t="str">
        <f t="shared" si="6"/>
        <v>A</v>
      </c>
      <c r="AL11" s="21">
        <v>10</v>
      </c>
      <c r="AM11" s="16">
        <v>12</v>
      </c>
      <c r="AN11" s="17">
        <v>26</v>
      </c>
      <c r="AO11" s="21">
        <f t="shared" si="25"/>
        <v>48</v>
      </c>
      <c r="AP11" s="21" t="str">
        <f t="shared" si="7"/>
        <v>D</v>
      </c>
      <c r="AQ11" s="21">
        <v>10</v>
      </c>
      <c r="AR11" s="16">
        <v>1.5</v>
      </c>
      <c r="AS11" s="17">
        <v>17</v>
      </c>
      <c r="AT11" s="21">
        <f t="shared" si="26"/>
        <v>28.5</v>
      </c>
      <c r="AU11" s="21" t="str">
        <f t="shared" si="38"/>
        <v>F</v>
      </c>
      <c r="AV11" s="21">
        <v>10</v>
      </c>
      <c r="AW11" s="15">
        <v>20</v>
      </c>
      <c r="AX11" s="17">
        <v>23</v>
      </c>
      <c r="AY11" s="21">
        <f t="shared" si="27"/>
        <v>53</v>
      </c>
      <c r="AZ11" s="21" t="str">
        <f t="shared" si="9"/>
        <v>C</v>
      </c>
      <c r="BA11" s="21">
        <v>10</v>
      </c>
      <c r="BB11" s="16">
        <v>20</v>
      </c>
      <c r="BC11" s="17">
        <v>60</v>
      </c>
      <c r="BD11" s="21">
        <f t="shared" si="28"/>
        <v>90</v>
      </c>
      <c r="BE11" s="21" t="str">
        <f t="shared" si="10"/>
        <v>A</v>
      </c>
      <c r="BF11" s="21">
        <v>10</v>
      </c>
      <c r="BG11" s="16">
        <v>14</v>
      </c>
      <c r="BH11" s="17">
        <v>39</v>
      </c>
      <c r="BI11" s="21">
        <f t="shared" si="29"/>
        <v>63</v>
      </c>
      <c r="BJ11" s="21" t="str">
        <f t="shared" si="11"/>
        <v>B</v>
      </c>
      <c r="BK11" s="21">
        <v>10</v>
      </c>
      <c r="BL11" s="16"/>
      <c r="BM11" s="17"/>
      <c r="BN11" s="21">
        <f t="shared" si="12"/>
        <v>10</v>
      </c>
      <c r="BO11" s="21" t="str">
        <f t="shared" si="13"/>
        <v>F</v>
      </c>
      <c r="BP11" s="21">
        <v>10</v>
      </c>
      <c r="BQ11" s="16">
        <v>20</v>
      </c>
      <c r="BR11" s="17">
        <v>49</v>
      </c>
      <c r="BS11" s="21">
        <f t="shared" si="14"/>
        <v>79</v>
      </c>
      <c r="BT11" s="21" t="str">
        <f t="shared" si="15"/>
        <v>A</v>
      </c>
      <c r="BU11" s="21">
        <v>10</v>
      </c>
      <c r="BV11" s="16">
        <v>5</v>
      </c>
      <c r="BW11" s="17">
        <v>40</v>
      </c>
      <c r="BX11" s="21">
        <f t="shared" si="30"/>
        <v>55</v>
      </c>
      <c r="BY11" s="21" t="str">
        <f t="shared" si="16"/>
        <v>C</v>
      </c>
      <c r="BZ11" s="21">
        <v>10</v>
      </c>
      <c r="CA11" s="16">
        <v>0</v>
      </c>
      <c r="CB11" s="17">
        <v>11</v>
      </c>
      <c r="CC11" s="21">
        <f t="shared" si="31"/>
        <v>21</v>
      </c>
      <c r="CD11" s="21" t="str">
        <f t="shared" si="17"/>
        <v>F</v>
      </c>
      <c r="CE11" s="21">
        <v>10</v>
      </c>
      <c r="CF11" s="16">
        <v>15</v>
      </c>
      <c r="CG11" s="17">
        <v>48</v>
      </c>
      <c r="CH11" s="21">
        <f t="shared" si="32"/>
        <v>73</v>
      </c>
      <c r="CI11" s="21" t="str">
        <f t="shared" si="18"/>
        <v>A</v>
      </c>
      <c r="CJ11" s="21">
        <f t="shared" si="37"/>
        <v>917.5</v>
      </c>
      <c r="CK11" s="21">
        <f t="shared" si="34"/>
        <v>53.970588235294116</v>
      </c>
      <c r="CL11" s="22">
        <f>RANK(CK11,CK4:CK17,0)</f>
        <v>7</v>
      </c>
      <c r="CM11" s="14"/>
    </row>
    <row r="12" spans="1:91" ht="18.75" x14ac:dyDescent="0.25">
      <c r="A12" s="14">
        <v>9</v>
      </c>
      <c r="B12" s="14" t="s">
        <v>49</v>
      </c>
      <c r="C12" s="15">
        <v>10</v>
      </c>
      <c r="D12" s="16">
        <v>7</v>
      </c>
      <c r="E12" s="26">
        <v>17</v>
      </c>
      <c r="F12" s="21">
        <f t="shared" si="0"/>
        <v>34</v>
      </c>
      <c r="G12" s="21" t="str">
        <f t="shared" si="35"/>
        <v>F</v>
      </c>
      <c r="H12" s="21">
        <v>10</v>
      </c>
      <c r="I12" s="15">
        <v>18</v>
      </c>
      <c r="J12" s="17">
        <v>27</v>
      </c>
      <c r="K12" s="21">
        <f t="shared" si="19"/>
        <v>55</v>
      </c>
      <c r="L12" s="21" t="str">
        <f t="shared" si="1"/>
        <v>C</v>
      </c>
      <c r="M12" s="21">
        <v>10</v>
      </c>
      <c r="N12" s="15">
        <v>20</v>
      </c>
      <c r="O12" s="17">
        <v>50</v>
      </c>
      <c r="P12" s="21">
        <f t="shared" si="20"/>
        <v>80</v>
      </c>
      <c r="Q12" s="21" t="str">
        <f t="shared" si="2"/>
        <v>A</v>
      </c>
      <c r="R12" s="21">
        <v>10</v>
      </c>
      <c r="S12" s="16">
        <v>12</v>
      </c>
      <c r="T12" s="17">
        <v>18</v>
      </c>
      <c r="U12" s="21">
        <f t="shared" si="21"/>
        <v>40</v>
      </c>
      <c r="V12" s="21" t="str">
        <f t="shared" si="3"/>
        <v>E</v>
      </c>
      <c r="W12" s="21">
        <v>10</v>
      </c>
      <c r="X12" s="16">
        <v>7</v>
      </c>
      <c r="Y12" s="17">
        <v>41</v>
      </c>
      <c r="Z12" s="21">
        <f t="shared" si="22"/>
        <v>58</v>
      </c>
      <c r="AA12" s="21" t="str">
        <f t="shared" si="4"/>
        <v>C</v>
      </c>
      <c r="AB12" s="21">
        <v>10</v>
      </c>
      <c r="AC12" s="16">
        <v>13</v>
      </c>
      <c r="AD12" s="17">
        <v>51</v>
      </c>
      <c r="AE12" s="21">
        <f t="shared" si="23"/>
        <v>74</v>
      </c>
      <c r="AF12" s="21" t="str">
        <f t="shared" si="5"/>
        <v>A</v>
      </c>
      <c r="AG12" s="21">
        <v>10</v>
      </c>
      <c r="AH12" s="16">
        <v>13</v>
      </c>
      <c r="AI12" s="17">
        <v>49</v>
      </c>
      <c r="AJ12" s="21">
        <f t="shared" si="24"/>
        <v>72</v>
      </c>
      <c r="AK12" s="21" t="str">
        <f t="shared" si="6"/>
        <v>A</v>
      </c>
      <c r="AL12" s="21">
        <v>10</v>
      </c>
      <c r="AM12" s="16">
        <v>11</v>
      </c>
      <c r="AN12" s="17">
        <v>33</v>
      </c>
      <c r="AO12" s="21">
        <f t="shared" si="25"/>
        <v>54</v>
      </c>
      <c r="AP12" s="21" t="str">
        <f t="shared" si="7"/>
        <v>C</v>
      </c>
      <c r="AQ12" s="21">
        <v>10</v>
      </c>
      <c r="AR12" s="16">
        <v>4.5</v>
      </c>
      <c r="AS12" s="17">
        <v>8</v>
      </c>
      <c r="AT12" s="21">
        <f t="shared" si="26"/>
        <v>22.5</v>
      </c>
      <c r="AU12" s="21" t="str">
        <f t="shared" si="38"/>
        <v>F</v>
      </c>
      <c r="AV12" s="21">
        <v>10</v>
      </c>
      <c r="AW12" s="15">
        <v>20</v>
      </c>
      <c r="AX12" s="17">
        <v>19</v>
      </c>
      <c r="AY12" s="21">
        <f t="shared" si="27"/>
        <v>49</v>
      </c>
      <c r="AZ12" s="21" t="str">
        <f t="shared" si="9"/>
        <v>D</v>
      </c>
      <c r="BA12" s="21">
        <v>10</v>
      </c>
      <c r="BB12" s="16">
        <v>20</v>
      </c>
      <c r="BC12" s="17">
        <v>59</v>
      </c>
      <c r="BD12" s="21">
        <f t="shared" si="28"/>
        <v>89</v>
      </c>
      <c r="BE12" s="21" t="str">
        <f t="shared" si="10"/>
        <v>A</v>
      </c>
      <c r="BF12" s="21">
        <v>10</v>
      </c>
      <c r="BG12" s="16">
        <v>9</v>
      </c>
      <c r="BH12" s="17">
        <v>53</v>
      </c>
      <c r="BI12" s="21">
        <f t="shared" si="29"/>
        <v>72</v>
      </c>
      <c r="BJ12" s="21" t="str">
        <f t="shared" si="11"/>
        <v>A</v>
      </c>
      <c r="BK12" s="21">
        <v>10</v>
      </c>
      <c r="BL12" s="16"/>
      <c r="BM12" s="17"/>
      <c r="BN12" s="21">
        <f t="shared" si="12"/>
        <v>10</v>
      </c>
      <c r="BO12" s="21" t="str">
        <f t="shared" si="13"/>
        <v>F</v>
      </c>
      <c r="BP12" s="21">
        <v>10</v>
      </c>
      <c r="BQ12" s="16">
        <v>13</v>
      </c>
      <c r="BR12" s="17">
        <v>34</v>
      </c>
      <c r="BS12" s="21">
        <f t="shared" si="14"/>
        <v>57</v>
      </c>
      <c r="BT12" s="21" t="str">
        <f t="shared" si="15"/>
        <v>C</v>
      </c>
      <c r="BU12" s="21">
        <v>10</v>
      </c>
      <c r="BV12" s="16">
        <v>2</v>
      </c>
      <c r="BW12" s="17">
        <v>21</v>
      </c>
      <c r="BX12" s="21">
        <f t="shared" si="30"/>
        <v>33</v>
      </c>
      <c r="BY12" s="21" t="str">
        <f t="shared" si="16"/>
        <v>F</v>
      </c>
      <c r="BZ12" s="21">
        <v>10</v>
      </c>
      <c r="CA12" s="16">
        <v>1</v>
      </c>
      <c r="CB12" s="17">
        <v>14</v>
      </c>
      <c r="CC12" s="21">
        <f t="shared" si="31"/>
        <v>25</v>
      </c>
      <c r="CD12" s="21" t="str">
        <f t="shared" si="17"/>
        <v>F</v>
      </c>
      <c r="CE12" s="21">
        <v>10</v>
      </c>
      <c r="CF12" s="16">
        <v>16</v>
      </c>
      <c r="CG12" s="17">
        <v>41</v>
      </c>
      <c r="CH12" s="21">
        <f t="shared" si="32"/>
        <v>67</v>
      </c>
      <c r="CI12" s="21" t="str">
        <f t="shared" si="18"/>
        <v>B</v>
      </c>
      <c r="CJ12" s="21">
        <f t="shared" si="37"/>
        <v>891.5</v>
      </c>
      <c r="CK12" s="21">
        <f t="shared" si="34"/>
        <v>52.441176470588232</v>
      </c>
      <c r="CL12" s="22">
        <f>RANK(CK12,CK4:CK17,0)</f>
        <v>8</v>
      </c>
      <c r="CM12" s="14"/>
    </row>
    <row r="13" spans="1:91" ht="18.75" x14ac:dyDescent="0.25">
      <c r="A13" s="14">
        <v>10</v>
      </c>
      <c r="B13" s="14" t="s">
        <v>50</v>
      </c>
      <c r="C13" s="15">
        <v>10</v>
      </c>
      <c r="D13" s="16">
        <v>6</v>
      </c>
      <c r="E13" s="26">
        <v>8</v>
      </c>
      <c r="F13" s="21">
        <f t="shared" si="0"/>
        <v>24</v>
      </c>
      <c r="G13" s="21" t="str">
        <f t="shared" si="35"/>
        <v>F</v>
      </c>
      <c r="H13" s="21">
        <v>10</v>
      </c>
      <c r="I13" s="15">
        <v>18</v>
      </c>
      <c r="J13" s="17">
        <v>32</v>
      </c>
      <c r="K13" s="21">
        <f t="shared" si="19"/>
        <v>60</v>
      </c>
      <c r="L13" s="21" t="str">
        <f t="shared" si="1"/>
        <v>B</v>
      </c>
      <c r="M13" s="21">
        <v>10</v>
      </c>
      <c r="N13" s="15">
        <v>20</v>
      </c>
      <c r="O13" s="17">
        <v>12.5</v>
      </c>
      <c r="P13" s="21">
        <f t="shared" si="20"/>
        <v>42.5</v>
      </c>
      <c r="Q13" s="21" t="str">
        <f t="shared" si="2"/>
        <v>E</v>
      </c>
      <c r="R13" s="21">
        <v>10</v>
      </c>
      <c r="S13" s="16">
        <v>6</v>
      </c>
      <c r="T13" s="17">
        <v>12</v>
      </c>
      <c r="U13" s="21">
        <f t="shared" si="21"/>
        <v>28</v>
      </c>
      <c r="V13" s="21" t="str">
        <f t="shared" si="3"/>
        <v>F</v>
      </c>
      <c r="W13" s="21">
        <v>10</v>
      </c>
      <c r="X13" s="16">
        <v>4</v>
      </c>
      <c r="Y13" s="17">
        <v>40</v>
      </c>
      <c r="Z13" s="21">
        <f t="shared" si="22"/>
        <v>54</v>
      </c>
      <c r="AA13" s="21" t="str">
        <f t="shared" si="4"/>
        <v>C</v>
      </c>
      <c r="AB13" s="21">
        <v>10</v>
      </c>
      <c r="AC13" s="16">
        <v>9</v>
      </c>
      <c r="AD13" s="17">
        <v>30</v>
      </c>
      <c r="AE13" s="21">
        <f t="shared" si="23"/>
        <v>49</v>
      </c>
      <c r="AF13" s="21" t="str">
        <f t="shared" si="5"/>
        <v>D</v>
      </c>
      <c r="AG13" s="21">
        <v>10</v>
      </c>
      <c r="AH13" s="16">
        <v>12</v>
      </c>
      <c r="AI13" s="17">
        <v>52</v>
      </c>
      <c r="AJ13" s="21">
        <f t="shared" si="24"/>
        <v>74</v>
      </c>
      <c r="AK13" s="21" t="str">
        <f t="shared" si="6"/>
        <v>A</v>
      </c>
      <c r="AL13" s="21">
        <v>10</v>
      </c>
      <c r="AM13" s="16">
        <v>9</v>
      </c>
      <c r="AN13" s="17">
        <v>31</v>
      </c>
      <c r="AO13" s="21">
        <f t="shared" si="25"/>
        <v>50</v>
      </c>
      <c r="AP13" s="21" t="str">
        <f t="shared" si="7"/>
        <v>C</v>
      </c>
      <c r="AQ13" s="21">
        <v>10</v>
      </c>
      <c r="AR13" s="16">
        <v>4</v>
      </c>
      <c r="AS13" s="17">
        <v>4</v>
      </c>
      <c r="AT13" s="21">
        <f t="shared" si="26"/>
        <v>18</v>
      </c>
      <c r="AU13" s="21" t="str">
        <f t="shared" si="38"/>
        <v>F</v>
      </c>
      <c r="AV13" s="21">
        <v>10</v>
      </c>
      <c r="AW13" s="15">
        <v>20</v>
      </c>
      <c r="AX13" s="17">
        <v>20</v>
      </c>
      <c r="AY13" s="21">
        <f t="shared" si="27"/>
        <v>50</v>
      </c>
      <c r="AZ13" s="21" t="str">
        <f t="shared" si="9"/>
        <v>C</v>
      </c>
      <c r="BA13" s="21">
        <v>10</v>
      </c>
      <c r="BB13" s="16">
        <v>17</v>
      </c>
      <c r="BC13" s="17">
        <v>61</v>
      </c>
      <c r="BD13" s="21">
        <f t="shared" si="28"/>
        <v>88</v>
      </c>
      <c r="BE13" s="21" t="str">
        <f t="shared" si="10"/>
        <v>A</v>
      </c>
      <c r="BF13" s="21">
        <v>10</v>
      </c>
      <c r="BG13" s="16">
        <v>6</v>
      </c>
      <c r="BH13" s="17">
        <v>35</v>
      </c>
      <c r="BI13" s="21">
        <f t="shared" si="29"/>
        <v>51</v>
      </c>
      <c r="BJ13" s="21" t="str">
        <f t="shared" si="11"/>
        <v>C</v>
      </c>
      <c r="BK13" s="21">
        <v>10</v>
      </c>
      <c r="BL13" s="16"/>
      <c r="BM13" s="17"/>
      <c r="BN13" s="21">
        <f t="shared" si="12"/>
        <v>10</v>
      </c>
      <c r="BO13" s="21" t="str">
        <f t="shared" si="13"/>
        <v>F</v>
      </c>
      <c r="BP13" s="21">
        <v>10</v>
      </c>
      <c r="BQ13" s="16">
        <v>15</v>
      </c>
      <c r="BR13" s="17">
        <v>45</v>
      </c>
      <c r="BS13" s="21">
        <f t="shared" si="14"/>
        <v>70</v>
      </c>
      <c r="BT13" s="21" t="str">
        <f t="shared" si="15"/>
        <v>A</v>
      </c>
      <c r="BU13" s="21">
        <v>10</v>
      </c>
      <c r="BV13" s="16">
        <v>2</v>
      </c>
      <c r="BW13" s="17">
        <v>28</v>
      </c>
      <c r="BX13" s="21">
        <f t="shared" si="30"/>
        <v>40</v>
      </c>
      <c r="BY13" s="21" t="str">
        <f t="shared" si="16"/>
        <v>E</v>
      </c>
      <c r="BZ13" s="21">
        <v>10</v>
      </c>
      <c r="CA13" s="16">
        <v>1</v>
      </c>
      <c r="CB13" s="17">
        <v>12</v>
      </c>
      <c r="CC13" s="21">
        <f t="shared" si="31"/>
        <v>23</v>
      </c>
      <c r="CD13" s="21" t="str">
        <f t="shared" si="17"/>
        <v>F</v>
      </c>
      <c r="CE13" s="21">
        <v>10</v>
      </c>
      <c r="CF13" s="16">
        <v>15</v>
      </c>
      <c r="CG13" s="17">
        <v>28</v>
      </c>
      <c r="CH13" s="21">
        <f t="shared" si="32"/>
        <v>53</v>
      </c>
      <c r="CI13" s="21" t="str">
        <f t="shared" si="18"/>
        <v>C</v>
      </c>
      <c r="CJ13" s="21">
        <f t="shared" si="37"/>
        <v>784.5</v>
      </c>
      <c r="CK13" s="21">
        <f t="shared" si="34"/>
        <v>46.147058823529413</v>
      </c>
      <c r="CL13" s="22">
        <f>RANK(CK13,CK4:CK17,0)</f>
        <v>12</v>
      </c>
      <c r="CM13" s="14"/>
    </row>
    <row r="14" spans="1:91" ht="18.75" x14ac:dyDescent="0.25">
      <c r="A14" s="14">
        <v>11</v>
      </c>
      <c r="B14" s="14" t="s">
        <v>51</v>
      </c>
      <c r="C14" s="15">
        <v>10</v>
      </c>
      <c r="D14" s="16">
        <v>6</v>
      </c>
      <c r="E14" s="26">
        <v>15</v>
      </c>
      <c r="F14" s="21">
        <f t="shared" si="0"/>
        <v>31</v>
      </c>
      <c r="G14" s="21" t="str">
        <f t="shared" si="35"/>
        <v>F</v>
      </c>
      <c r="H14" s="21">
        <v>10</v>
      </c>
      <c r="I14" s="15">
        <v>18</v>
      </c>
      <c r="J14" s="17">
        <v>45</v>
      </c>
      <c r="K14" s="21">
        <f t="shared" si="19"/>
        <v>73</v>
      </c>
      <c r="L14" s="21" t="str">
        <f t="shared" si="1"/>
        <v>A</v>
      </c>
      <c r="M14" s="21">
        <v>10</v>
      </c>
      <c r="N14" s="15">
        <v>20</v>
      </c>
      <c r="O14" s="17">
        <v>37.5</v>
      </c>
      <c r="P14" s="21">
        <f t="shared" si="20"/>
        <v>67.5</v>
      </c>
      <c r="Q14" s="21" t="str">
        <f t="shared" si="2"/>
        <v>B</v>
      </c>
      <c r="R14" s="21">
        <v>10</v>
      </c>
      <c r="S14" s="16">
        <v>16</v>
      </c>
      <c r="T14" s="17">
        <v>25</v>
      </c>
      <c r="U14" s="21">
        <f t="shared" si="21"/>
        <v>51</v>
      </c>
      <c r="V14" s="21" t="str">
        <f t="shared" si="3"/>
        <v>C</v>
      </c>
      <c r="W14" s="21">
        <v>10</v>
      </c>
      <c r="X14" s="16">
        <v>5</v>
      </c>
      <c r="Y14" s="17">
        <v>34</v>
      </c>
      <c r="Z14" s="21">
        <f t="shared" si="22"/>
        <v>49</v>
      </c>
      <c r="AA14" s="21" t="str">
        <f t="shared" si="4"/>
        <v>D</v>
      </c>
      <c r="AB14" s="21">
        <v>10</v>
      </c>
      <c r="AC14" s="16">
        <v>10</v>
      </c>
      <c r="AD14" s="17">
        <v>54</v>
      </c>
      <c r="AE14" s="21">
        <f t="shared" si="23"/>
        <v>74</v>
      </c>
      <c r="AF14" s="21" t="str">
        <f t="shared" si="5"/>
        <v>A</v>
      </c>
      <c r="AG14" s="21">
        <v>10</v>
      </c>
      <c r="AH14" s="16">
        <v>15</v>
      </c>
      <c r="AI14" s="17">
        <v>64</v>
      </c>
      <c r="AJ14" s="21">
        <f t="shared" si="24"/>
        <v>89</v>
      </c>
      <c r="AK14" s="21" t="str">
        <f t="shared" si="6"/>
        <v>A</v>
      </c>
      <c r="AL14" s="21">
        <v>10</v>
      </c>
      <c r="AM14" s="16">
        <v>9</v>
      </c>
      <c r="AN14" s="17">
        <v>46</v>
      </c>
      <c r="AO14" s="21">
        <f t="shared" si="25"/>
        <v>65</v>
      </c>
      <c r="AP14" s="21" t="str">
        <f t="shared" si="7"/>
        <v>B</v>
      </c>
      <c r="AQ14" s="21">
        <v>10</v>
      </c>
      <c r="AR14" s="16">
        <v>9</v>
      </c>
      <c r="AS14" s="17">
        <v>24</v>
      </c>
      <c r="AT14" s="21">
        <f t="shared" si="26"/>
        <v>43</v>
      </c>
      <c r="AU14" s="21" t="str">
        <f t="shared" si="38"/>
        <v>E</v>
      </c>
      <c r="AV14" s="21">
        <v>10</v>
      </c>
      <c r="AW14" s="15">
        <v>20</v>
      </c>
      <c r="AX14" s="17">
        <v>29</v>
      </c>
      <c r="AY14" s="21">
        <f t="shared" si="27"/>
        <v>59</v>
      </c>
      <c r="AZ14" s="21" t="str">
        <f t="shared" si="9"/>
        <v>C</v>
      </c>
      <c r="BA14" s="21">
        <v>10</v>
      </c>
      <c r="BB14" s="16">
        <v>20</v>
      </c>
      <c r="BC14" s="17">
        <v>63</v>
      </c>
      <c r="BD14" s="21">
        <f t="shared" si="28"/>
        <v>93</v>
      </c>
      <c r="BE14" s="21" t="str">
        <f t="shared" si="10"/>
        <v>A</v>
      </c>
      <c r="BF14" s="21">
        <v>10</v>
      </c>
      <c r="BG14" s="16">
        <v>18</v>
      </c>
      <c r="BH14" s="17">
        <v>38</v>
      </c>
      <c r="BI14" s="21">
        <f t="shared" si="29"/>
        <v>66</v>
      </c>
      <c r="BJ14" s="21" t="str">
        <f t="shared" si="11"/>
        <v>B</v>
      </c>
      <c r="BK14" s="21">
        <v>10</v>
      </c>
      <c r="BL14" s="16"/>
      <c r="BM14" s="17"/>
      <c r="BN14" s="21">
        <f t="shared" si="12"/>
        <v>10</v>
      </c>
      <c r="BO14" s="21" t="str">
        <f t="shared" si="13"/>
        <v>F</v>
      </c>
      <c r="BP14" s="21">
        <v>10</v>
      </c>
      <c r="BQ14" s="16">
        <v>0</v>
      </c>
      <c r="BR14" s="17">
        <v>52</v>
      </c>
      <c r="BS14" s="21">
        <f t="shared" si="14"/>
        <v>62</v>
      </c>
      <c r="BT14" s="21" t="str">
        <f t="shared" si="15"/>
        <v>B</v>
      </c>
      <c r="BU14" s="21">
        <v>10</v>
      </c>
      <c r="BV14" s="16">
        <v>9</v>
      </c>
      <c r="BW14" s="17">
        <v>42</v>
      </c>
      <c r="BX14" s="21">
        <f t="shared" si="30"/>
        <v>61</v>
      </c>
      <c r="BY14" s="21" t="str">
        <f t="shared" si="16"/>
        <v>B</v>
      </c>
      <c r="BZ14" s="21">
        <v>10</v>
      </c>
      <c r="CA14" s="16">
        <v>8</v>
      </c>
      <c r="CB14" s="17">
        <v>35</v>
      </c>
      <c r="CC14" s="21">
        <f t="shared" si="31"/>
        <v>53</v>
      </c>
      <c r="CD14" s="21" t="str">
        <f t="shared" si="17"/>
        <v>C</v>
      </c>
      <c r="CE14" s="21">
        <v>10</v>
      </c>
      <c r="CF14" s="16">
        <v>15</v>
      </c>
      <c r="CG14" s="17">
        <v>40</v>
      </c>
      <c r="CH14" s="21">
        <f t="shared" si="32"/>
        <v>65</v>
      </c>
      <c r="CI14" s="21" t="str">
        <f t="shared" si="18"/>
        <v>B</v>
      </c>
      <c r="CJ14" s="21">
        <f t="shared" si="37"/>
        <v>1011.5</v>
      </c>
      <c r="CK14" s="21">
        <f t="shared" si="34"/>
        <v>59.5</v>
      </c>
      <c r="CL14" s="22">
        <f>RANK(CK14,CK4:CK17,0)</f>
        <v>6</v>
      </c>
      <c r="CM14" s="14"/>
    </row>
    <row r="15" spans="1:91" ht="18.75" x14ac:dyDescent="0.25">
      <c r="A15" s="14">
        <v>12</v>
      </c>
      <c r="B15" s="14" t="s">
        <v>52</v>
      </c>
      <c r="C15" s="15">
        <v>10</v>
      </c>
      <c r="D15" s="16">
        <v>16</v>
      </c>
      <c r="E15" s="26">
        <v>15</v>
      </c>
      <c r="F15" s="21">
        <f>SUM(C15:E15)</f>
        <v>41</v>
      </c>
      <c r="G15" s="21" t="str">
        <f t="shared" si="35"/>
        <v>E</v>
      </c>
      <c r="H15" s="21">
        <v>10</v>
      </c>
      <c r="I15" s="15">
        <v>18</v>
      </c>
      <c r="J15" s="17">
        <v>41</v>
      </c>
      <c r="K15" s="21">
        <f t="shared" si="19"/>
        <v>69</v>
      </c>
      <c r="L15" s="21" t="str">
        <f t="shared" si="1"/>
        <v>B</v>
      </c>
      <c r="M15" s="21">
        <v>10</v>
      </c>
      <c r="N15" s="15">
        <v>20</v>
      </c>
      <c r="O15" s="17">
        <v>45</v>
      </c>
      <c r="P15" s="21">
        <f t="shared" si="20"/>
        <v>75</v>
      </c>
      <c r="Q15" s="21" t="str">
        <f t="shared" si="2"/>
        <v>A</v>
      </c>
      <c r="R15" s="21">
        <v>10</v>
      </c>
      <c r="S15" s="16">
        <v>16</v>
      </c>
      <c r="T15" s="17">
        <v>38</v>
      </c>
      <c r="U15" s="21">
        <f t="shared" si="21"/>
        <v>64</v>
      </c>
      <c r="V15" s="21" t="str">
        <f t="shared" si="3"/>
        <v>B</v>
      </c>
      <c r="W15" s="21">
        <v>10</v>
      </c>
      <c r="X15" s="16">
        <v>13</v>
      </c>
      <c r="Y15" s="17">
        <v>55</v>
      </c>
      <c r="Z15" s="21">
        <f t="shared" si="22"/>
        <v>78</v>
      </c>
      <c r="AA15" s="21" t="str">
        <f t="shared" si="4"/>
        <v>A</v>
      </c>
      <c r="AB15" s="21">
        <v>10</v>
      </c>
      <c r="AC15" s="16">
        <v>18</v>
      </c>
      <c r="AD15" s="17">
        <v>70</v>
      </c>
      <c r="AE15" s="21">
        <f t="shared" si="23"/>
        <v>98</v>
      </c>
      <c r="AF15" s="21" t="str">
        <f t="shared" si="5"/>
        <v>A</v>
      </c>
      <c r="AG15" s="21">
        <v>10</v>
      </c>
      <c r="AH15" s="16">
        <v>11</v>
      </c>
      <c r="AI15" s="17">
        <v>66</v>
      </c>
      <c r="AJ15" s="21">
        <f t="shared" si="24"/>
        <v>87</v>
      </c>
      <c r="AK15" s="21" t="str">
        <f t="shared" si="6"/>
        <v>A</v>
      </c>
      <c r="AL15" s="21">
        <v>10</v>
      </c>
      <c r="AM15" s="16">
        <v>10</v>
      </c>
      <c r="AN15" s="17">
        <v>20</v>
      </c>
      <c r="AO15" s="21">
        <f t="shared" si="25"/>
        <v>40</v>
      </c>
      <c r="AP15" s="21" t="str">
        <f t="shared" si="7"/>
        <v>E</v>
      </c>
      <c r="AQ15" s="21">
        <v>10</v>
      </c>
      <c r="AR15" s="16">
        <v>10</v>
      </c>
      <c r="AS15" s="17">
        <v>39</v>
      </c>
      <c r="AT15" s="21">
        <f t="shared" si="26"/>
        <v>59</v>
      </c>
      <c r="AU15" s="21" t="str">
        <f t="shared" si="38"/>
        <v>C</v>
      </c>
      <c r="AV15" s="21">
        <v>10</v>
      </c>
      <c r="AW15" s="15">
        <v>20</v>
      </c>
      <c r="AX15" s="17">
        <v>41</v>
      </c>
      <c r="AY15" s="21">
        <f t="shared" si="27"/>
        <v>71</v>
      </c>
      <c r="AZ15" s="21" t="str">
        <f t="shared" si="9"/>
        <v>A</v>
      </c>
      <c r="BA15" s="21">
        <v>10</v>
      </c>
      <c r="BB15" s="16">
        <v>20</v>
      </c>
      <c r="BC15" s="17">
        <v>67</v>
      </c>
      <c r="BD15" s="21">
        <f t="shared" si="28"/>
        <v>97</v>
      </c>
      <c r="BE15" s="21" t="str">
        <f t="shared" si="10"/>
        <v>A</v>
      </c>
      <c r="BF15" s="21">
        <v>10</v>
      </c>
      <c r="BG15" s="16">
        <v>18</v>
      </c>
      <c r="BH15" s="17">
        <v>65</v>
      </c>
      <c r="BI15" s="21">
        <f t="shared" si="29"/>
        <v>93</v>
      </c>
      <c r="BJ15" s="21" t="str">
        <f t="shared" si="11"/>
        <v>A</v>
      </c>
      <c r="BK15" s="21">
        <v>10</v>
      </c>
      <c r="BL15" s="16"/>
      <c r="BM15" s="17"/>
      <c r="BN15" s="21">
        <f t="shared" si="12"/>
        <v>10</v>
      </c>
      <c r="BO15" s="21" t="str">
        <f t="shared" si="13"/>
        <v>F</v>
      </c>
      <c r="BP15" s="21">
        <v>10</v>
      </c>
      <c r="BQ15" s="16">
        <v>19</v>
      </c>
      <c r="BR15" s="17">
        <v>60</v>
      </c>
      <c r="BS15" s="21">
        <f t="shared" si="14"/>
        <v>89</v>
      </c>
      <c r="BT15" s="21" t="str">
        <f t="shared" si="15"/>
        <v>A</v>
      </c>
      <c r="BU15" s="21">
        <v>10</v>
      </c>
      <c r="BV15" s="16">
        <v>10</v>
      </c>
      <c r="BW15" s="17">
        <v>35</v>
      </c>
      <c r="BX15" s="21">
        <f t="shared" si="30"/>
        <v>55</v>
      </c>
      <c r="BY15" s="21" t="str">
        <f t="shared" si="16"/>
        <v>C</v>
      </c>
      <c r="BZ15" s="21">
        <v>10</v>
      </c>
      <c r="CA15" s="16">
        <v>6</v>
      </c>
      <c r="CB15" s="17">
        <v>28</v>
      </c>
      <c r="CC15" s="21">
        <f t="shared" si="31"/>
        <v>44</v>
      </c>
      <c r="CD15" s="21" t="str">
        <f t="shared" si="17"/>
        <v>E</v>
      </c>
      <c r="CE15" s="21">
        <v>10</v>
      </c>
      <c r="CF15" s="16">
        <v>14</v>
      </c>
      <c r="CG15" s="17">
        <v>62</v>
      </c>
      <c r="CH15" s="21">
        <f t="shared" si="32"/>
        <v>86</v>
      </c>
      <c r="CI15" s="21" t="str">
        <f t="shared" si="18"/>
        <v>A</v>
      </c>
      <c r="CJ15" s="21">
        <f t="shared" si="37"/>
        <v>1156</v>
      </c>
      <c r="CK15" s="21">
        <f t="shared" si="34"/>
        <v>68</v>
      </c>
      <c r="CL15" s="22">
        <f>RANK(CK15,CK4:CK17,0)</f>
        <v>3</v>
      </c>
      <c r="CM15" s="14"/>
    </row>
    <row r="16" spans="1:91" ht="18.75" x14ac:dyDescent="0.25">
      <c r="A16" s="14">
        <v>13</v>
      </c>
      <c r="B16" s="14" t="s">
        <v>53</v>
      </c>
      <c r="C16" s="15">
        <v>10</v>
      </c>
      <c r="D16" s="16">
        <v>0</v>
      </c>
      <c r="E16" s="26"/>
      <c r="F16" s="21">
        <f t="shared" ref="F16:F17" si="39">SUM(C16:E16)</f>
        <v>10</v>
      </c>
      <c r="G16" s="21" t="str">
        <f t="shared" si="35"/>
        <v>F</v>
      </c>
      <c r="H16" s="21">
        <v>10</v>
      </c>
      <c r="I16" s="15">
        <v>0</v>
      </c>
      <c r="J16" s="17">
        <v>0</v>
      </c>
      <c r="K16" s="21">
        <f t="shared" si="19"/>
        <v>10</v>
      </c>
      <c r="L16" s="21" t="str">
        <f t="shared" si="1"/>
        <v>F</v>
      </c>
      <c r="M16" s="21">
        <v>10</v>
      </c>
      <c r="N16" s="15">
        <v>20</v>
      </c>
      <c r="O16" s="17"/>
      <c r="P16" s="21">
        <f t="shared" si="20"/>
        <v>30</v>
      </c>
      <c r="Q16" s="21" t="str">
        <f t="shared" si="2"/>
        <v>F</v>
      </c>
      <c r="R16" s="21">
        <v>10</v>
      </c>
      <c r="S16" s="16">
        <v>0</v>
      </c>
      <c r="T16" s="17"/>
      <c r="U16" s="21">
        <f t="shared" si="21"/>
        <v>10</v>
      </c>
      <c r="V16" s="21" t="str">
        <f t="shared" si="3"/>
        <v>F</v>
      </c>
      <c r="W16" s="21">
        <v>10</v>
      </c>
      <c r="X16" s="16">
        <v>0</v>
      </c>
      <c r="Y16" s="17">
        <v>0</v>
      </c>
      <c r="Z16" s="21">
        <f t="shared" si="22"/>
        <v>10</v>
      </c>
      <c r="AA16" s="21" t="str">
        <f t="shared" si="4"/>
        <v>F</v>
      </c>
      <c r="AB16" s="21">
        <v>10</v>
      </c>
      <c r="AC16" s="16">
        <v>0</v>
      </c>
      <c r="AD16" s="17">
        <v>0</v>
      </c>
      <c r="AE16" s="21">
        <f t="shared" si="23"/>
        <v>10</v>
      </c>
      <c r="AF16" s="21" t="str">
        <f t="shared" si="5"/>
        <v>F</v>
      </c>
      <c r="AG16" s="21">
        <v>10</v>
      </c>
      <c r="AH16" s="16">
        <v>0</v>
      </c>
      <c r="AI16" s="17">
        <v>0</v>
      </c>
      <c r="AJ16" s="21">
        <f t="shared" si="24"/>
        <v>10</v>
      </c>
      <c r="AK16" s="21" t="str">
        <f t="shared" si="6"/>
        <v>F</v>
      </c>
      <c r="AL16" s="21">
        <v>10</v>
      </c>
      <c r="AM16" s="16">
        <v>0</v>
      </c>
      <c r="AN16" s="17">
        <v>0</v>
      </c>
      <c r="AO16" s="21">
        <f t="shared" si="25"/>
        <v>10</v>
      </c>
      <c r="AP16" s="21" t="str">
        <f t="shared" si="7"/>
        <v>F</v>
      </c>
      <c r="AQ16" s="21">
        <v>10</v>
      </c>
      <c r="AR16" s="16">
        <v>0</v>
      </c>
      <c r="AS16" s="17">
        <v>0</v>
      </c>
      <c r="AT16" s="21">
        <f t="shared" si="26"/>
        <v>10</v>
      </c>
      <c r="AU16" s="21" t="str">
        <f t="shared" si="38"/>
        <v>F</v>
      </c>
      <c r="AV16" s="21">
        <v>10</v>
      </c>
      <c r="AW16" s="15">
        <v>0</v>
      </c>
      <c r="AX16" s="17">
        <v>0</v>
      </c>
      <c r="AY16" s="21">
        <f t="shared" si="27"/>
        <v>10</v>
      </c>
      <c r="AZ16" s="21" t="str">
        <f t="shared" si="9"/>
        <v>F</v>
      </c>
      <c r="BA16" s="21">
        <v>10</v>
      </c>
      <c r="BB16" s="16">
        <v>0</v>
      </c>
      <c r="BC16" s="17">
        <v>0</v>
      </c>
      <c r="BD16" s="21">
        <f t="shared" si="28"/>
        <v>10</v>
      </c>
      <c r="BE16" s="21" t="str">
        <f t="shared" si="10"/>
        <v>F</v>
      </c>
      <c r="BF16" s="21">
        <v>10</v>
      </c>
      <c r="BG16" s="16">
        <v>0</v>
      </c>
      <c r="BH16" s="17">
        <v>0</v>
      </c>
      <c r="BI16" s="21">
        <f t="shared" si="29"/>
        <v>10</v>
      </c>
      <c r="BJ16" s="21" t="str">
        <f t="shared" si="11"/>
        <v>F</v>
      </c>
      <c r="BK16" s="21">
        <v>10</v>
      </c>
      <c r="BL16" s="16"/>
      <c r="BM16" s="17"/>
      <c r="BN16" s="21">
        <f t="shared" si="12"/>
        <v>10</v>
      </c>
      <c r="BO16" s="21" t="str">
        <f t="shared" si="13"/>
        <v>F</v>
      </c>
      <c r="BP16" s="21">
        <v>10</v>
      </c>
      <c r="BQ16" s="16">
        <v>0</v>
      </c>
      <c r="BR16" s="17"/>
      <c r="BS16" s="21">
        <f t="shared" si="14"/>
        <v>10</v>
      </c>
      <c r="BT16" s="21" t="str">
        <f t="shared" si="15"/>
        <v>F</v>
      </c>
      <c r="BU16" s="21">
        <v>10</v>
      </c>
      <c r="BV16" s="16">
        <v>0</v>
      </c>
      <c r="BW16" s="17">
        <v>0</v>
      </c>
      <c r="BX16" s="21">
        <f t="shared" si="30"/>
        <v>10</v>
      </c>
      <c r="BY16" s="21" t="str">
        <f t="shared" si="16"/>
        <v>F</v>
      </c>
      <c r="BZ16" s="21">
        <v>10</v>
      </c>
      <c r="CA16" s="16">
        <v>0</v>
      </c>
      <c r="CB16" s="17"/>
      <c r="CC16" s="21">
        <f t="shared" si="31"/>
        <v>10</v>
      </c>
      <c r="CD16" s="21" t="str">
        <f t="shared" si="17"/>
        <v>F</v>
      </c>
      <c r="CE16" s="21">
        <v>10</v>
      </c>
      <c r="CF16" s="16">
        <v>0</v>
      </c>
      <c r="CG16" s="17"/>
      <c r="CH16" s="21">
        <f t="shared" si="32"/>
        <v>10</v>
      </c>
      <c r="CI16" s="21" t="str">
        <f t="shared" si="18"/>
        <v>F</v>
      </c>
      <c r="CJ16" s="21">
        <f t="shared" si="37"/>
        <v>190</v>
      </c>
      <c r="CK16" s="21">
        <f t="shared" si="34"/>
        <v>11.176470588235293</v>
      </c>
      <c r="CL16" s="22">
        <f>RANK(CK16,CK4:CK17,0)</f>
        <v>14</v>
      </c>
      <c r="CM16" s="14"/>
    </row>
    <row r="17" spans="1:91" ht="18.75" x14ac:dyDescent="0.25">
      <c r="A17" s="14">
        <v>14</v>
      </c>
      <c r="B17" s="14" t="s">
        <v>54</v>
      </c>
      <c r="C17" s="15">
        <v>10</v>
      </c>
      <c r="D17" s="18">
        <v>10</v>
      </c>
      <c r="E17" s="26">
        <v>16</v>
      </c>
      <c r="F17" s="21">
        <f t="shared" si="39"/>
        <v>36</v>
      </c>
      <c r="G17" s="21" t="str">
        <f t="shared" si="35"/>
        <v>F</v>
      </c>
      <c r="H17" s="21">
        <v>10</v>
      </c>
      <c r="I17" s="15">
        <v>18</v>
      </c>
      <c r="J17" s="17">
        <v>35</v>
      </c>
      <c r="K17" s="21">
        <f t="shared" si="19"/>
        <v>63</v>
      </c>
      <c r="L17" s="21" t="str">
        <f t="shared" si="1"/>
        <v>B</v>
      </c>
      <c r="M17" s="21">
        <v>10</v>
      </c>
      <c r="N17" s="15">
        <v>20</v>
      </c>
      <c r="O17" s="17">
        <v>10</v>
      </c>
      <c r="P17" s="21">
        <f t="shared" si="20"/>
        <v>40</v>
      </c>
      <c r="Q17" s="21" t="str">
        <f t="shared" si="2"/>
        <v>E</v>
      </c>
      <c r="R17" s="21">
        <v>10</v>
      </c>
      <c r="S17" s="16">
        <v>4</v>
      </c>
      <c r="T17" s="17">
        <v>20</v>
      </c>
      <c r="U17" s="21">
        <f t="shared" si="21"/>
        <v>34</v>
      </c>
      <c r="V17" s="21" t="str">
        <f t="shared" si="3"/>
        <v>F</v>
      </c>
      <c r="W17" s="21">
        <v>10</v>
      </c>
      <c r="X17" s="16">
        <v>5</v>
      </c>
      <c r="Y17" s="17">
        <v>25</v>
      </c>
      <c r="Z17" s="21">
        <f t="shared" si="22"/>
        <v>40</v>
      </c>
      <c r="AA17" s="21" t="str">
        <f t="shared" si="4"/>
        <v>E</v>
      </c>
      <c r="AB17" s="21">
        <v>10</v>
      </c>
      <c r="AC17" s="16">
        <v>10</v>
      </c>
      <c r="AD17" s="17">
        <v>32</v>
      </c>
      <c r="AE17" s="21">
        <f t="shared" si="23"/>
        <v>52</v>
      </c>
      <c r="AF17" s="21" t="str">
        <f t="shared" si="5"/>
        <v>C</v>
      </c>
      <c r="AG17" s="21">
        <v>10</v>
      </c>
      <c r="AH17" s="16">
        <v>13</v>
      </c>
      <c r="AI17" s="17">
        <v>50</v>
      </c>
      <c r="AJ17" s="21">
        <f t="shared" si="24"/>
        <v>73</v>
      </c>
      <c r="AK17" s="21" t="str">
        <f t="shared" si="6"/>
        <v>A</v>
      </c>
      <c r="AL17" s="21">
        <v>10</v>
      </c>
      <c r="AM17" s="16">
        <v>8</v>
      </c>
      <c r="AN17" s="17">
        <v>42</v>
      </c>
      <c r="AO17" s="21">
        <f t="shared" si="25"/>
        <v>60</v>
      </c>
      <c r="AP17" s="21" t="str">
        <f t="shared" si="7"/>
        <v>B</v>
      </c>
      <c r="AQ17" s="21">
        <v>10</v>
      </c>
      <c r="AR17" s="16">
        <v>6</v>
      </c>
      <c r="AS17" s="17">
        <v>22</v>
      </c>
      <c r="AT17" s="21">
        <f t="shared" si="26"/>
        <v>38</v>
      </c>
      <c r="AU17" s="21" t="str">
        <f t="shared" si="38"/>
        <v>F</v>
      </c>
      <c r="AV17" s="21">
        <v>10</v>
      </c>
      <c r="AW17" s="15">
        <v>20</v>
      </c>
      <c r="AX17" s="17">
        <v>31</v>
      </c>
      <c r="AY17" s="21">
        <f t="shared" si="27"/>
        <v>61</v>
      </c>
      <c r="AZ17" s="21" t="str">
        <f t="shared" si="9"/>
        <v>B</v>
      </c>
      <c r="BA17" s="21">
        <v>10</v>
      </c>
      <c r="BB17" s="16">
        <v>19</v>
      </c>
      <c r="BC17" s="17">
        <v>57</v>
      </c>
      <c r="BD17" s="21">
        <f t="shared" si="28"/>
        <v>86</v>
      </c>
      <c r="BE17" s="21" t="str">
        <f t="shared" si="10"/>
        <v>A</v>
      </c>
      <c r="BF17" s="21">
        <v>10</v>
      </c>
      <c r="BG17" s="16">
        <v>10</v>
      </c>
      <c r="BH17" s="17">
        <v>48</v>
      </c>
      <c r="BI17" s="21">
        <f t="shared" si="29"/>
        <v>68</v>
      </c>
      <c r="BJ17" s="21" t="str">
        <f t="shared" si="11"/>
        <v>B</v>
      </c>
      <c r="BK17" s="21">
        <v>10</v>
      </c>
      <c r="BL17" s="16"/>
      <c r="BM17" s="17"/>
      <c r="BN17" s="21">
        <f t="shared" si="12"/>
        <v>10</v>
      </c>
      <c r="BO17" s="21" t="str">
        <f t="shared" si="13"/>
        <v>F</v>
      </c>
      <c r="BP17" s="21">
        <v>10</v>
      </c>
      <c r="BQ17" s="16">
        <v>16</v>
      </c>
      <c r="BR17" s="17">
        <v>54</v>
      </c>
      <c r="BS17" s="21">
        <f t="shared" si="14"/>
        <v>80</v>
      </c>
      <c r="BT17" s="21" t="str">
        <f t="shared" si="15"/>
        <v>A</v>
      </c>
      <c r="BU17" s="21">
        <v>10</v>
      </c>
      <c r="BV17" s="16">
        <v>2</v>
      </c>
      <c r="BW17" s="17">
        <v>18</v>
      </c>
      <c r="BX17" s="21">
        <f t="shared" si="30"/>
        <v>30</v>
      </c>
      <c r="BY17" s="21" t="str">
        <f t="shared" si="16"/>
        <v>F</v>
      </c>
      <c r="BZ17" s="21">
        <v>10</v>
      </c>
      <c r="CA17" s="16">
        <v>6</v>
      </c>
      <c r="CB17" s="17">
        <v>22.5</v>
      </c>
      <c r="CC17" s="21">
        <f t="shared" si="31"/>
        <v>38.5</v>
      </c>
      <c r="CD17" s="21" t="str">
        <f t="shared" si="17"/>
        <v>F</v>
      </c>
      <c r="CE17" s="21">
        <v>10</v>
      </c>
      <c r="CF17" s="16">
        <v>15</v>
      </c>
      <c r="CG17" s="17">
        <v>56</v>
      </c>
      <c r="CH17" s="21">
        <f t="shared" si="32"/>
        <v>81</v>
      </c>
      <c r="CI17" s="21" t="str">
        <f t="shared" si="18"/>
        <v>A</v>
      </c>
      <c r="CJ17" s="21">
        <f t="shared" si="37"/>
        <v>890.5</v>
      </c>
      <c r="CK17" s="21">
        <f t="shared" si="34"/>
        <v>52.382352941176471</v>
      </c>
      <c r="CL17" s="22">
        <f>RANK(CK17,CK4:CK17,0)</f>
        <v>9</v>
      </c>
      <c r="CM17" s="14"/>
    </row>
    <row r="18" spans="1:91" ht="15.75" x14ac:dyDescent="0.25">
      <c r="A18" s="9"/>
      <c r="B18" s="8"/>
      <c r="C18" s="9"/>
      <c r="D18" s="8"/>
      <c r="E18" s="2"/>
      <c r="F18" s="9"/>
      <c r="G18" s="9"/>
      <c r="H18" s="9"/>
      <c r="I18" s="2"/>
      <c r="J18" s="9"/>
      <c r="K18" s="9"/>
      <c r="L18" s="9"/>
      <c r="M18" s="9"/>
      <c r="N18" s="8"/>
      <c r="O18" s="9"/>
      <c r="P18" s="9"/>
      <c r="Q18" s="9"/>
      <c r="R18" s="9"/>
      <c r="S18" s="8"/>
      <c r="T18" s="9"/>
      <c r="U18" s="9"/>
      <c r="V18" s="9"/>
      <c r="W18" s="9"/>
      <c r="X18" s="8"/>
      <c r="Y18" s="9"/>
      <c r="Z18" s="9"/>
      <c r="AA18" s="9"/>
      <c r="AB18" s="9"/>
      <c r="AC18" s="8"/>
      <c r="AD18" s="9"/>
      <c r="AE18" s="9"/>
      <c r="AF18" s="9"/>
      <c r="AG18" s="9"/>
      <c r="AH18" s="8"/>
      <c r="AI18" s="9"/>
      <c r="AJ18" s="9"/>
      <c r="AK18" s="9"/>
      <c r="AL18" s="9"/>
      <c r="AM18" s="8"/>
      <c r="AN18" s="9"/>
      <c r="AO18" s="9"/>
      <c r="AP18" s="9"/>
      <c r="AQ18" s="9"/>
      <c r="AR18" s="8"/>
      <c r="AS18" s="9"/>
      <c r="AT18" s="9"/>
      <c r="AU18" s="9"/>
      <c r="AV18" s="9"/>
      <c r="AW18" s="8"/>
      <c r="AX18" s="9"/>
      <c r="AY18" s="9"/>
      <c r="AZ18" s="9"/>
      <c r="BA18" s="9"/>
      <c r="BB18" s="8"/>
      <c r="BC18" s="9"/>
      <c r="BD18" s="9"/>
      <c r="BE18" s="9"/>
      <c r="BF18" s="9"/>
      <c r="BG18" s="8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8"/>
      <c r="BW18" s="9"/>
      <c r="BX18" s="9"/>
      <c r="BY18" s="9"/>
      <c r="BZ18" s="9"/>
      <c r="CA18" s="8"/>
      <c r="CB18" s="9"/>
      <c r="CC18" s="9"/>
      <c r="CD18" s="9"/>
      <c r="CE18" s="9"/>
      <c r="CF18" s="8"/>
      <c r="CG18" s="9"/>
      <c r="CK18" s="9"/>
      <c r="CL18" s="10"/>
    </row>
    <row r="19" spans="1:91" ht="15.75" x14ac:dyDescent="0.25">
      <c r="A19" s="9"/>
      <c r="B19" s="8"/>
      <c r="C19" s="9"/>
      <c r="D19" s="8"/>
      <c r="E19" s="2"/>
      <c r="F19" s="9"/>
      <c r="G19" s="9"/>
      <c r="H19" s="9"/>
      <c r="I19" s="2"/>
      <c r="J19" s="9"/>
      <c r="K19" s="9"/>
      <c r="L19" s="9"/>
      <c r="M19" s="9"/>
      <c r="N19" s="8"/>
      <c r="O19" s="9"/>
      <c r="P19" s="9"/>
      <c r="Q19" s="9"/>
      <c r="R19" s="9"/>
      <c r="S19" s="8"/>
      <c r="T19" s="9"/>
      <c r="U19" s="9"/>
      <c r="V19" s="9"/>
      <c r="W19" s="9"/>
      <c r="X19" s="8"/>
      <c r="Y19" s="9"/>
      <c r="Z19" s="9"/>
      <c r="AA19" s="9"/>
      <c r="AB19" s="9"/>
      <c r="AC19" s="8"/>
      <c r="AD19" s="9"/>
      <c r="AE19" s="9"/>
      <c r="AF19" s="9"/>
      <c r="AG19" s="9"/>
      <c r="AH19" s="8"/>
      <c r="AI19" s="9"/>
      <c r="AJ19" s="9"/>
      <c r="AK19" s="9"/>
      <c r="AL19" s="9"/>
      <c r="AM19" s="8"/>
      <c r="AN19" s="9"/>
      <c r="AO19" s="9"/>
      <c r="AP19" s="9"/>
      <c r="AQ19" s="9"/>
      <c r="AR19" s="8"/>
      <c r="AS19" s="9"/>
      <c r="AT19" s="9"/>
      <c r="AU19" s="9"/>
      <c r="AV19" s="9"/>
      <c r="AW19" s="8"/>
      <c r="AX19" s="9"/>
      <c r="AY19" s="9"/>
      <c r="AZ19" s="9"/>
      <c r="BA19" s="9"/>
      <c r="BB19" s="8"/>
      <c r="BC19" s="9"/>
      <c r="BD19" s="9"/>
      <c r="BE19" s="9"/>
      <c r="BF19" s="9"/>
      <c r="BG19" s="8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8"/>
      <c r="BW19" s="9"/>
      <c r="BX19" s="9"/>
      <c r="BY19" s="9"/>
      <c r="BZ19" s="9"/>
      <c r="CA19" s="8"/>
      <c r="CB19" s="9"/>
      <c r="CC19" s="9"/>
      <c r="CD19" s="9"/>
      <c r="CE19" s="9"/>
      <c r="CF19" s="8"/>
      <c r="CG19" s="9"/>
      <c r="CK19" s="9"/>
      <c r="CL19" s="10"/>
    </row>
    <row r="20" spans="1:91" ht="15.75" x14ac:dyDescent="0.25">
      <c r="A20" s="9"/>
      <c r="B20" s="8"/>
      <c r="C20" s="9"/>
      <c r="D20" s="8"/>
      <c r="E20" s="2"/>
      <c r="F20" s="9"/>
      <c r="G20" s="9"/>
      <c r="H20" s="9"/>
      <c r="I20" s="2"/>
      <c r="J20" s="9"/>
      <c r="K20" s="9"/>
      <c r="L20" s="9"/>
      <c r="M20" s="9"/>
      <c r="N20" s="8"/>
      <c r="O20" s="9"/>
      <c r="P20" s="9"/>
      <c r="Q20" s="9"/>
      <c r="R20" s="9"/>
      <c r="S20" s="8"/>
      <c r="T20" s="9"/>
      <c r="U20" s="9"/>
      <c r="V20" s="9"/>
      <c r="W20" s="9"/>
      <c r="X20" s="8"/>
      <c r="Y20" s="9"/>
      <c r="Z20" s="9"/>
      <c r="AA20" s="9"/>
      <c r="AB20" s="9"/>
      <c r="AC20" s="8"/>
      <c r="AD20" s="9"/>
      <c r="AE20" s="9"/>
      <c r="AF20" s="9"/>
      <c r="AG20" s="9"/>
      <c r="AH20" s="8"/>
      <c r="AI20" s="9"/>
      <c r="AJ20" s="9"/>
      <c r="AK20" s="9"/>
      <c r="AL20" s="9"/>
      <c r="AM20" s="8"/>
      <c r="AN20" s="9"/>
      <c r="AO20" s="9"/>
      <c r="AP20" s="9"/>
      <c r="AQ20" s="9"/>
      <c r="AR20" s="8"/>
      <c r="AS20" s="9"/>
      <c r="AT20" s="9"/>
      <c r="AU20" s="9"/>
      <c r="AV20" s="9"/>
      <c r="AW20" s="8"/>
      <c r="AX20" s="9"/>
      <c r="AY20" s="9"/>
      <c r="AZ20" s="9"/>
      <c r="BA20" s="9"/>
      <c r="BB20" s="8"/>
      <c r="BC20" s="9"/>
      <c r="BD20" s="9"/>
      <c r="BE20" s="9"/>
      <c r="BF20" s="9"/>
      <c r="BG20" s="8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8"/>
      <c r="BW20" s="9"/>
      <c r="BX20" s="9"/>
      <c r="BY20" s="9"/>
      <c r="BZ20" s="9"/>
      <c r="CA20" s="8"/>
      <c r="CB20" s="9"/>
      <c r="CC20" s="9"/>
      <c r="CD20" s="9"/>
      <c r="CE20" s="9"/>
      <c r="CF20" s="8"/>
      <c r="CG20" s="9"/>
      <c r="CH20" s="9"/>
      <c r="CI20" s="9"/>
      <c r="CJ20" s="9"/>
      <c r="CK20" s="9"/>
      <c r="CL20" s="10"/>
    </row>
    <row r="21" spans="1:91" ht="15.75" x14ac:dyDescent="0.25">
      <c r="A21" s="9"/>
      <c r="B21" s="8"/>
      <c r="C21" s="9"/>
      <c r="D21" s="8"/>
      <c r="E21" s="2"/>
      <c r="F21" s="9"/>
      <c r="G21" s="9"/>
      <c r="H21" s="9"/>
      <c r="I21" s="2"/>
      <c r="J21" s="9"/>
      <c r="K21" s="9"/>
      <c r="L21" s="9"/>
      <c r="M21" s="9"/>
      <c r="N21" s="8"/>
      <c r="O21" s="9"/>
      <c r="P21" s="9"/>
      <c r="Q21" s="9"/>
      <c r="R21" s="9"/>
      <c r="S21" s="8"/>
      <c r="T21" s="9"/>
      <c r="U21" s="9"/>
      <c r="V21" s="9"/>
      <c r="W21" s="9"/>
      <c r="X21" s="8"/>
      <c r="Y21" s="9"/>
      <c r="Z21" s="9"/>
      <c r="AA21" s="9"/>
      <c r="AB21" s="9"/>
      <c r="AC21" s="8"/>
      <c r="AD21" s="9"/>
      <c r="AE21" s="9"/>
      <c r="AF21" s="9"/>
      <c r="AG21" s="9"/>
      <c r="AH21" s="8"/>
      <c r="AI21" s="9"/>
      <c r="AJ21" s="9"/>
      <c r="AK21" s="9"/>
      <c r="AL21" s="9"/>
      <c r="AM21" s="8"/>
      <c r="AN21" s="9"/>
      <c r="AO21" s="9"/>
      <c r="AP21" s="9"/>
      <c r="AQ21" s="9"/>
      <c r="AR21" s="8"/>
      <c r="AS21" s="9"/>
      <c r="AT21" s="9"/>
      <c r="AU21" s="9"/>
      <c r="AV21" s="9"/>
      <c r="AW21" s="8"/>
      <c r="AX21" s="9"/>
      <c r="AY21" s="9"/>
      <c r="AZ21" s="9"/>
      <c r="BA21" s="9"/>
      <c r="BB21" s="8"/>
      <c r="BC21" s="9"/>
      <c r="BD21" s="9"/>
      <c r="BE21" s="9"/>
      <c r="BF21" s="9"/>
      <c r="BG21" s="8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8"/>
      <c r="BW21" s="9"/>
      <c r="BX21" s="9"/>
      <c r="BY21" s="9"/>
      <c r="BZ21" s="9"/>
      <c r="CA21" s="8"/>
      <c r="CB21" s="9"/>
      <c r="CC21" s="9"/>
      <c r="CD21" s="9"/>
      <c r="CE21" s="9"/>
      <c r="CF21" s="8"/>
      <c r="CG21" s="9"/>
      <c r="CH21" s="9"/>
      <c r="CI21" s="9"/>
      <c r="CJ21" s="9"/>
      <c r="CK21" s="9"/>
      <c r="CL21" s="10"/>
    </row>
    <row r="22" spans="1:91" ht="18.75" x14ac:dyDescent="0.25">
      <c r="A22" s="9"/>
      <c r="B22" s="8"/>
      <c r="C22" s="9"/>
      <c r="D22" s="8"/>
      <c r="E22" s="2"/>
      <c r="F22" s="9"/>
      <c r="G22" s="9"/>
      <c r="H22" s="9"/>
      <c r="I22" s="2"/>
      <c r="J22" s="9"/>
      <c r="K22" s="9"/>
      <c r="L22" s="9"/>
      <c r="M22" s="9"/>
      <c r="N22" s="8"/>
      <c r="O22" s="9"/>
      <c r="P22" s="9"/>
      <c r="Q22" s="9"/>
      <c r="R22" s="9"/>
      <c r="S22" s="8"/>
      <c r="T22" s="9"/>
      <c r="U22" s="9"/>
      <c r="V22" s="9"/>
      <c r="W22" s="9"/>
      <c r="X22" s="8"/>
      <c r="Y22" s="9"/>
      <c r="Z22" s="9"/>
      <c r="AA22" s="9"/>
      <c r="AB22" s="9"/>
      <c r="AC22" s="8"/>
      <c r="AD22" s="9"/>
      <c r="AE22" s="9"/>
      <c r="AF22" s="9"/>
      <c r="AG22" s="9"/>
      <c r="AH22" s="8"/>
      <c r="AI22" s="9"/>
      <c r="AJ22" s="9"/>
      <c r="AK22" s="9"/>
      <c r="AL22" s="9"/>
      <c r="AM22" s="8"/>
      <c r="AN22" s="9"/>
      <c r="AO22" s="9"/>
      <c r="AP22" s="9"/>
      <c r="AQ22" s="9"/>
      <c r="AR22" s="8"/>
      <c r="AS22" s="9"/>
      <c r="AT22" s="9"/>
      <c r="AU22" s="9"/>
      <c r="AV22" s="9"/>
      <c r="AW22" s="8"/>
      <c r="AX22" s="9"/>
      <c r="AY22" s="9"/>
      <c r="AZ22" s="9"/>
      <c r="BA22" s="9"/>
      <c r="BB22" s="8"/>
      <c r="BC22" s="9"/>
      <c r="BD22" s="9"/>
      <c r="BE22" s="9"/>
      <c r="BF22" s="9"/>
      <c r="BG22" s="8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8"/>
      <c r="BW22" s="9"/>
      <c r="BX22" s="9"/>
      <c r="BY22" s="9"/>
      <c r="BZ22" s="9"/>
      <c r="CA22" s="8"/>
      <c r="CB22" s="9"/>
      <c r="CC22" s="9"/>
      <c r="CD22" s="9"/>
      <c r="CE22" s="9"/>
      <c r="CF22" s="8"/>
      <c r="CG22" s="9"/>
      <c r="CH22" s="13" t="s">
        <v>34</v>
      </c>
      <c r="CI22" s="1"/>
      <c r="CJ22" s="12" t="s">
        <v>35</v>
      </c>
      <c r="CK22" s="9"/>
      <c r="CL22" s="10"/>
    </row>
    <row r="23" spans="1:91" ht="18.75" x14ac:dyDescent="0.25">
      <c r="A23" s="9"/>
      <c r="B23" s="8"/>
      <c r="C23" s="9"/>
      <c r="D23" s="8"/>
      <c r="E23" s="2"/>
      <c r="F23" s="9"/>
      <c r="G23" s="9"/>
      <c r="H23" s="9"/>
      <c r="I23" s="2"/>
      <c r="J23" s="9"/>
      <c r="K23" s="9"/>
      <c r="L23" s="9"/>
      <c r="M23" s="9"/>
      <c r="N23" s="8"/>
      <c r="O23" s="9"/>
      <c r="P23" s="9"/>
      <c r="Q23" s="9"/>
      <c r="R23" s="9"/>
      <c r="S23" s="8"/>
      <c r="T23" s="9"/>
      <c r="U23" s="9"/>
      <c r="V23" s="9"/>
      <c r="W23" s="9"/>
      <c r="X23" s="8"/>
      <c r="Y23" s="9"/>
      <c r="Z23" s="9"/>
      <c r="AA23" s="9"/>
      <c r="AB23" s="9"/>
      <c r="AC23" s="8"/>
      <c r="AD23" s="9"/>
      <c r="AE23" s="9"/>
      <c r="AF23" s="9"/>
      <c r="AG23" s="9"/>
      <c r="AH23" s="8"/>
      <c r="AI23" s="9"/>
      <c r="AJ23" s="9"/>
      <c r="AK23" s="9"/>
      <c r="AL23" s="9"/>
      <c r="AM23" s="8"/>
      <c r="AN23" s="9"/>
      <c r="AO23" s="9"/>
      <c r="AP23" s="9"/>
      <c r="AQ23" s="9"/>
      <c r="AR23" s="8"/>
      <c r="AS23" s="9"/>
      <c r="AT23" s="9"/>
      <c r="AU23" s="9"/>
      <c r="AV23" s="9"/>
      <c r="AW23" s="8"/>
      <c r="AX23" s="9"/>
      <c r="AY23" s="9"/>
      <c r="AZ23" s="9"/>
      <c r="BA23" s="9"/>
      <c r="BB23" s="8"/>
      <c r="BC23" s="9"/>
      <c r="BD23" s="9"/>
      <c r="BE23" s="9"/>
      <c r="BF23" s="9"/>
      <c r="BG23" s="8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8"/>
      <c r="BW23" s="9"/>
      <c r="BX23" s="9"/>
      <c r="BY23" s="9"/>
      <c r="BZ23" s="9"/>
      <c r="CA23" s="8"/>
      <c r="CB23" s="9"/>
      <c r="CC23" s="9"/>
      <c r="CD23" s="9"/>
      <c r="CE23" s="9"/>
      <c r="CF23" s="8"/>
      <c r="CG23" s="9"/>
      <c r="CH23" s="13" t="s">
        <v>36</v>
      </c>
      <c r="CI23" s="9"/>
      <c r="CJ23" s="13" t="s">
        <v>37</v>
      </c>
      <c r="CK23" s="9"/>
      <c r="CL23" s="10"/>
    </row>
    <row r="24" spans="1:91" ht="18.75" x14ac:dyDescent="0.25">
      <c r="A24" s="9"/>
      <c r="B24" s="8"/>
      <c r="C24" s="9"/>
      <c r="D24" s="8"/>
      <c r="E24" s="2"/>
      <c r="F24" s="9"/>
      <c r="G24" s="9"/>
      <c r="H24" s="9"/>
      <c r="I24" s="2"/>
      <c r="J24" s="9"/>
      <c r="K24" s="9"/>
      <c r="L24" s="9"/>
      <c r="M24" s="9"/>
      <c r="N24" s="8"/>
      <c r="O24" s="9"/>
      <c r="P24" s="9"/>
      <c r="Q24" s="9"/>
      <c r="R24" s="9"/>
      <c r="S24" s="8"/>
      <c r="T24" s="9"/>
      <c r="U24" s="9"/>
      <c r="V24" s="9"/>
      <c r="W24" s="9"/>
      <c r="X24" s="8"/>
      <c r="Y24" s="9"/>
      <c r="Z24" s="9"/>
      <c r="AA24" s="9"/>
      <c r="AB24" s="9"/>
      <c r="AC24" s="8"/>
      <c r="AD24" s="9"/>
      <c r="AE24" s="9"/>
      <c r="AF24" s="9"/>
      <c r="AG24" s="9"/>
      <c r="AH24" s="8"/>
      <c r="AI24" s="9"/>
      <c r="AJ24" s="9"/>
      <c r="AK24" s="9"/>
      <c r="AL24" s="9"/>
      <c r="AM24" s="8"/>
      <c r="AN24" s="9"/>
      <c r="AO24" s="9"/>
      <c r="AP24" s="9"/>
      <c r="AQ24" s="9"/>
      <c r="AR24" s="8"/>
      <c r="AS24" s="9"/>
      <c r="AT24" s="9"/>
      <c r="AU24" s="9"/>
      <c r="AV24" s="9"/>
      <c r="AW24" s="8"/>
      <c r="AX24" s="9"/>
      <c r="AY24" s="9"/>
      <c r="AZ24" s="9"/>
      <c r="BA24" s="9"/>
      <c r="BB24" s="8"/>
      <c r="BC24" s="9"/>
      <c r="BD24" s="9"/>
      <c r="BE24" s="9"/>
      <c r="BF24" s="9"/>
      <c r="BG24" s="8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8"/>
      <c r="BW24" s="9"/>
      <c r="BX24" s="9"/>
      <c r="BY24" s="9"/>
      <c r="BZ24" s="9"/>
      <c r="CA24" s="8"/>
      <c r="CB24" s="9"/>
      <c r="CC24" s="9"/>
      <c r="CD24" s="9"/>
      <c r="CE24" s="9"/>
      <c r="CF24" s="8"/>
      <c r="CG24" s="9"/>
      <c r="CH24" s="13" t="s">
        <v>38</v>
      </c>
      <c r="CI24" s="9"/>
      <c r="CJ24" s="13" t="s">
        <v>39</v>
      </c>
      <c r="CK24" s="9"/>
      <c r="CL24" s="10"/>
    </row>
    <row r="25" spans="1:91" ht="18.75" x14ac:dyDescent="0.25">
      <c r="A25" s="9"/>
      <c r="B25" s="8"/>
      <c r="C25" s="9"/>
      <c r="D25" s="8"/>
      <c r="E25" s="2"/>
      <c r="F25" s="9"/>
      <c r="G25" s="9"/>
      <c r="H25" s="9"/>
      <c r="I25" s="2"/>
      <c r="J25" s="9"/>
      <c r="K25" s="9"/>
      <c r="L25" s="9"/>
      <c r="M25" s="9"/>
      <c r="N25" s="8"/>
      <c r="O25" s="9"/>
      <c r="P25" s="9"/>
      <c r="Q25" s="9"/>
      <c r="R25" s="9"/>
      <c r="S25" s="8"/>
      <c r="T25" s="9"/>
      <c r="U25" s="9"/>
      <c r="V25" s="9"/>
      <c r="W25" s="9"/>
      <c r="X25" s="8"/>
      <c r="Y25" s="9"/>
      <c r="Z25" s="9"/>
      <c r="AA25" s="9"/>
      <c r="AB25" s="9"/>
      <c r="AC25" s="8"/>
      <c r="AD25" s="9"/>
      <c r="AE25" s="9"/>
      <c r="AF25" s="9"/>
      <c r="AG25" s="9"/>
      <c r="AH25" s="8"/>
      <c r="AI25" s="9"/>
      <c r="AJ25" s="9"/>
      <c r="AK25" s="9"/>
      <c r="AL25" s="9"/>
      <c r="AM25" s="8"/>
      <c r="AN25" s="9"/>
      <c r="AO25" s="9"/>
      <c r="AP25" s="9"/>
      <c r="AQ25" s="9"/>
      <c r="AR25" s="8"/>
      <c r="AS25" s="9"/>
      <c r="AT25" s="9"/>
      <c r="AU25" s="9"/>
      <c r="AV25" s="9"/>
      <c r="AW25" s="8"/>
      <c r="AX25" s="9"/>
      <c r="AY25" s="9"/>
      <c r="AZ25" s="9"/>
      <c r="BA25" s="9"/>
      <c r="BB25" s="8"/>
      <c r="BC25" s="9"/>
      <c r="BD25" s="9"/>
      <c r="BE25" s="9"/>
      <c r="BF25" s="9"/>
      <c r="BG25" s="8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8"/>
      <c r="BW25" s="9"/>
      <c r="BX25" s="9"/>
      <c r="BY25" s="9"/>
      <c r="BZ25" s="9"/>
      <c r="CA25" s="8"/>
      <c r="CB25" s="9"/>
      <c r="CC25" s="9"/>
      <c r="CD25" s="9"/>
      <c r="CE25" s="9"/>
      <c r="CF25" s="8"/>
      <c r="CG25" s="9"/>
      <c r="CH25" s="13" t="s">
        <v>40</v>
      </c>
      <c r="CI25" s="9"/>
      <c r="CJ25" s="13" t="s">
        <v>44</v>
      </c>
      <c r="CK25" s="9"/>
      <c r="CL25" s="10"/>
    </row>
    <row r="26" spans="1:91" ht="18.75" x14ac:dyDescent="0.25">
      <c r="A26" s="9"/>
      <c r="B26" s="8"/>
      <c r="C26" s="9"/>
      <c r="D26" s="8"/>
      <c r="E26" s="2"/>
      <c r="F26" s="9"/>
      <c r="G26" s="9"/>
      <c r="H26" s="9"/>
      <c r="I26" s="2"/>
      <c r="J26" s="9"/>
      <c r="K26" s="9"/>
      <c r="L26" s="9"/>
      <c r="M26" s="9"/>
      <c r="N26" s="8"/>
      <c r="O26" s="9"/>
      <c r="P26" s="9"/>
      <c r="Q26" s="9"/>
      <c r="R26" s="9"/>
      <c r="S26" s="8"/>
      <c r="T26" s="9"/>
      <c r="U26" s="9"/>
      <c r="V26" s="9"/>
      <c r="W26" s="9"/>
      <c r="X26" s="8"/>
      <c r="Y26" s="9"/>
      <c r="Z26" s="9"/>
      <c r="AA26" s="9"/>
      <c r="AB26" s="9"/>
      <c r="AC26" s="8"/>
      <c r="AD26" s="9"/>
      <c r="AE26" s="9"/>
      <c r="AF26" s="9"/>
      <c r="AG26" s="9"/>
      <c r="AH26" s="8"/>
      <c r="AI26" s="9"/>
      <c r="AJ26" s="9"/>
      <c r="AK26" s="9"/>
      <c r="AL26" s="9"/>
      <c r="AM26" s="8"/>
      <c r="AN26" s="9"/>
      <c r="AO26" s="9"/>
      <c r="AP26" s="9"/>
      <c r="AQ26" s="9"/>
      <c r="AR26" s="8"/>
      <c r="AS26" s="9"/>
      <c r="AT26" s="9"/>
      <c r="AU26" s="9"/>
      <c r="AV26" s="9"/>
      <c r="AW26" s="8"/>
      <c r="AX26" s="9"/>
      <c r="AY26" s="9"/>
      <c r="AZ26" s="9"/>
      <c r="BA26" s="9"/>
      <c r="BB26" s="8"/>
      <c r="BC26" s="9"/>
      <c r="BD26" s="9"/>
      <c r="BE26" s="9"/>
      <c r="BF26" s="9"/>
      <c r="BG26" s="8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8"/>
      <c r="BW26" s="9"/>
      <c r="BX26" s="9"/>
      <c r="BY26" s="9"/>
      <c r="BZ26" s="9"/>
      <c r="CA26" s="8"/>
      <c r="CB26" s="9"/>
      <c r="CC26" s="9"/>
      <c r="CD26" s="9"/>
      <c r="CE26" s="9"/>
      <c r="CF26" s="8"/>
      <c r="CG26" s="9"/>
      <c r="CH26" s="13" t="s">
        <v>41</v>
      </c>
      <c r="CI26" s="9"/>
      <c r="CJ26" s="13" t="s">
        <v>43</v>
      </c>
      <c r="CK26" s="9"/>
      <c r="CL26" s="10"/>
    </row>
    <row r="27" spans="1:91" ht="18.75" x14ac:dyDescent="0.25">
      <c r="A27" s="9"/>
      <c r="B27" s="8"/>
      <c r="C27" s="9"/>
      <c r="D27" s="8"/>
      <c r="E27" s="2"/>
      <c r="F27" s="9"/>
      <c r="G27" s="9"/>
      <c r="H27" s="9"/>
      <c r="I27" s="2"/>
      <c r="J27" s="9"/>
      <c r="K27" s="9"/>
      <c r="L27" s="9"/>
      <c r="M27" s="9"/>
      <c r="N27" s="8"/>
      <c r="O27" s="9"/>
      <c r="P27" s="9"/>
      <c r="Q27" s="9"/>
      <c r="R27" s="9"/>
      <c r="S27" s="8"/>
      <c r="T27" s="9"/>
      <c r="U27" s="9"/>
      <c r="V27" s="9"/>
      <c r="W27" s="9"/>
      <c r="X27" s="8"/>
      <c r="Y27" s="9"/>
      <c r="Z27" s="9"/>
      <c r="AA27" s="9"/>
      <c r="AB27" s="9"/>
      <c r="AC27" s="8"/>
      <c r="AD27" s="9"/>
      <c r="AE27" s="9"/>
      <c r="AF27" s="9"/>
      <c r="AG27" s="9"/>
      <c r="AH27" s="8"/>
      <c r="AI27" s="9"/>
      <c r="AJ27" s="9"/>
      <c r="AK27" s="9"/>
      <c r="AL27" s="9"/>
      <c r="AM27" s="8"/>
      <c r="AN27" s="9"/>
      <c r="AO27" s="9"/>
      <c r="AP27" s="9"/>
      <c r="AQ27" s="9"/>
      <c r="AR27" s="8"/>
      <c r="AS27" s="9"/>
      <c r="AT27" s="9"/>
      <c r="AU27" s="9"/>
      <c r="AV27" s="9"/>
      <c r="AW27" s="8"/>
      <c r="AX27" s="9"/>
      <c r="AY27" s="9"/>
      <c r="AZ27" s="9"/>
      <c r="BA27" s="9"/>
      <c r="BB27" s="8"/>
      <c r="BC27" s="9"/>
      <c r="BD27" s="9"/>
      <c r="BE27" s="9"/>
      <c r="BF27" s="9"/>
      <c r="BG27" s="8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8"/>
      <c r="BW27" s="9"/>
      <c r="BX27" s="9"/>
      <c r="BY27" s="9"/>
      <c r="BZ27" s="9"/>
      <c r="CA27" s="8"/>
      <c r="CB27" s="9"/>
      <c r="CC27" s="9"/>
      <c r="CD27" s="9"/>
      <c r="CE27" s="9"/>
      <c r="CF27" s="8"/>
      <c r="CG27" s="9"/>
      <c r="CH27" s="13" t="s">
        <v>42</v>
      </c>
      <c r="CI27" s="9"/>
      <c r="CJ27" s="13" t="s">
        <v>45</v>
      </c>
      <c r="CK27" s="9"/>
      <c r="CL27" s="10"/>
    </row>
    <row r="28" spans="1:91" ht="15.75" x14ac:dyDescent="0.25">
      <c r="A28" s="9"/>
      <c r="B28" s="8"/>
      <c r="C28" s="9"/>
      <c r="D28" s="8"/>
      <c r="E28" s="2"/>
      <c r="F28" s="9"/>
      <c r="G28" s="9"/>
      <c r="H28" s="9"/>
      <c r="I28" s="2"/>
      <c r="J28" s="9"/>
      <c r="K28" s="9"/>
      <c r="L28" s="9"/>
      <c r="M28" s="9"/>
      <c r="N28" s="8"/>
      <c r="O28" s="9"/>
      <c r="P28" s="9"/>
      <c r="Q28" s="9"/>
      <c r="R28" s="9"/>
      <c r="S28" s="8"/>
      <c r="T28" s="9"/>
      <c r="U28" s="9"/>
      <c r="V28" s="9"/>
      <c r="W28" s="9"/>
      <c r="X28" s="8"/>
      <c r="Y28" s="9"/>
      <c r="Z28" s="9"/>
      <c r="AA28" s="9"/>
      <c r="AB28" s="9"/>
      <c r="AC28" s="8"/>
      <c r="AD28" s="9"/>
      <c r="AE28" s="9"/>
      <c r="AF28" s="9"/>
      <c r="AG28" s="9"/>
      <c r="AH28" s="8"/>
      <c r="AI28" s="9"/>
      <c r="AJ28" s="9"/>
      <c r="AK28" s="9"/>
      <c r="AL28" s="9"/>
      <c r="AM28" s="8"/>
      <c r="AN28" s="9"/>
      <c r="AO28" s="9"/>
      <c r="AP28" s="9"/>
      <c r="AQ28" s="9"/>
      <c r="AR28" s="8"/>
      <c r="AS28" s="9"/>
      <c r="AT28" s="9"/>
      <c r="AU28" s="9"/>
      <c r="AV28" s="9"/>
      <c r="AW28" s="8"/>
      <c r="AX28" s="9"/>
      <c r="AY28" s="9"/>
      <c r="AZ28" s="9"/>
      <c r="BA28" s="9"/>
      <c r="BB28" s="8"/>
      <c r="BC28" s="9"/>
      <c r="BD28" s="9"/>
      <c r="BE28" s="9"/>
      <c r="BF28" s="9"/>
      <c r="BG28" s="8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8"/>
      <c r="BW28" s="9"/>
      <c r="BX28" s="9"/>
      <c r="BY28" s="9"/>
      <c r="BZ28" s="9"/>
      <c r="CA28" s="8"/>
      <c r="CB28" s="9"/>
      <c r="CC28" s="9"/>
      <c r="CD28" s="9"/>
      <c r="CE28" s="9"/>
      <c r="CF28" s="8"/>
      <c r="CG28" s="9"/>
      <c r="CH28" s="9"/>
      <c r="CI28" s="9"/>
      <c r="CJ28" s="9"/>
      <c r="CK28" s="9"/>
      <c r="CL28" s="10"/>
    </row>
    <row r="29" spans="1:91" ht="15.75" x14ac:dyDescent="0.25">
      <c r="A29" s="9"/>
      <c r="B29" s="8"/>
      <c r="C29" s="9"/>
      <c r="D29" s="8"/>
      <c r="E29" s="2"/>
      <c r="F29" s="9"/>
      <c r="G29" s="9"/>
      <c r="H29" s="9"/>
      <c r="I29" s="2"/>
      <c r="J29" s="9"/>
      <c r="K29" s="9"/>
      <c r="L29" s="9"/>
      <c r="M29" s="9"/>
      <c r="N29" s="8"/>
      <c r="O29" s="9"/>
      <c r="P29" s="9"/>
      <c r="Q29" s="9"/>
      <c r="R29" s="9"/>
      <c r="S29" s="8"/>
      <c r="T29" s="9"/>
      <c r="U29" s="9"/>
      <c r="V29" s="9"/>
      <c r="W29" s="9"/>
      <c r="X29" s="8"/>
      <c r="Y29" s="9"/>
      <c r="Z29" s="9"/>
      <c r="AA29" s="9"/>
      <c r="AB29" s="9"/>
      <c r="AC29" s="8"/>
      <c r="AD29" s="9"/>
      <c r="AE29" s="9"/>
      <c r="AF29" s="9"/>
      <c r="AG29" s="9"/>
      <c r="AH29" s="8"/>
      <c r="AI29" s="9"/>
      <c r="AJ29" s="9"/>
      <c r="AK29" s="9"/>
      <c r="AL29" s="9"/>
      <c r="AM29" s="8"/>
      <c r="AN29" s="9"/>
      <c r="AO29" s="9"/>
      <c r="AP29" s="9"/>
      <c r="AQ29" s="9"/>
      <c r="AR29" s="8"/>
      <c r="AS29" s="9"/>
      <c r="AT29" s="9"/>
      <c r="AU29" s="9"/>
      <c r="AV29" s="9"/>
      <c r="AW29" s="8"/>
      <c r="AX29" s="9"/>
      <c r="AY29" s="9"/>
      <c r="AZ29" s="9"/>
      <c r="BA29" s="9"/>
      <c r="BB29" s="8"/>
      <c r="BC29" s="9"/>
      <c r="BD29" s="9"/>
      <c r="BE29" s="9"/>
      <c r="BF29" s="9"/>
      <c r="BG29" s="8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8"/>
      <c r="BW29" s="9"/>
      <c r="BX29" s="9"/>
      <c r="BY29" s="9"/>
      <c r="BZ29" s="9"/>
      <c r="CA29" s="8"/>
      <c r="CB29" s="9"/>
      <c r="CC29" s="9"/>
      <c r="CD29" s="9"/>
      <c r="CE29" s="9"/>
      <c r="CF29" s="8"/>
      <c r="CG29" s="9"/>
      <c r="CH29" s="9"/>
      <c r="CI29" s="9"/>
      <c r="CJ29" s="9"/>
      <c r="CK29" s="9"/>
      <c r="CL29" s="10"/>
    </row>
    <row r="30" spans="1:91" ht="15.75" x14ac:dyDescent="0.25">
      <c r="A30" s="9"/>
      <c r="B30" s="8"/>
      <c r="C30" s="9"/>
      <c r="D30" s="8"/>
      <c r="E30" s="2"/>
      <c r="F30" s="9"/>
      <c r="G30" s="9"/>
      <c r="H30" s="9"/>
      <c r="I30" s="2"/>
      <c r="J30" s="9"/>
      <c r="K30" s="9"/>
      <c r="L30" s="9"/>
      <c r="M30" s="9"/>
      <c r="N30" s="8"/>
      <c r="O30" s="9"/>
      <c r="P30" s="9"/>
      <c r="Q30" s="9"/>
      <c r="R30" s="9"/>
      <c r="S30" s="8"/>
      <c r="T30" s="9"/>
      <c r="U30" s="9"/>
      <c r="V30" s="9"/>
      <c r="W30" s="9"/>
      <c r="X30" s="8"/>
      <c r="Y30" s="9"/>
      <c r="Z30" s="9"/>
      <c r="AA30" s="9"/>
      <c r="AB30" s="9"/>
      <c r="AC30" s="8"/>
      <c r="AD30" s="9"/>
      <c r="AE30" s="9"/>
      <c r="AF30" s="9"/>
      <c r="AG30" s="9"/>
      <c r="AH30" s="8"/>
      <c r="AI30" s="9"/>
      <c r="AJ30" s="9"/>
      <c r="AK30" s="9"/>
      <c r="AL30" s="9"/>
      <c r="AM30" s="8"/>
      <c r="AN30" s="9"/>
      <c r="AO30" s="9"/>
      <c r="AP30" s="9"/>
      <c r="AQ30" s="9"/>
      <c r="AR30" s="8"/>
      <c r="AS30" s="9"/>
      <c r="AT30" s="9"/>
      <c r="AU30" s="9"/>
      <c r="AV30" s="9"/>
      <c r="AW30" s="8"/>
      <c r="AX30" s="9"/>
      <c r="AY30" s="9"/>
      <c r="AZ30" s="9"/>
      <c r="BA30" s="9"/>
      <c r="BB30" s="8"/>
      <c r="BC30" s="9"/>
      <c r="BD30" s="9"/>
      <c r="BE30" s="9"/>
      <c r="BF30" s="9"/>
      <c r="BG30" s="8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8"/>
      <c r="BW30" s="9"/>
      <c r="BX30" s="9"/>
      <c r="BY30" s="9"/>
      <c r="BZ30" s="9"/>
      <c r="CA30" s="8"/>
      <c r="CB30" s="9"/>
      <c r="CC30" s="9"/>
      <c r="CD30" s="9"/>
      <c r="CE30" s="9"/>
      <c r="CF30" s="8"/>
      <c r="CG30" s="9"/>
      <c r="CH30" s="9"/>
      <c r="CI30" s="9"/>
      <c r="CJ30" s="9"/>
      <c r="CK30" s="9"/>
      <c r="CL30" s="10"/>
    </row>
    <row r="31" spans="1:91" ht="15.75" x14ac:dyDescent="0.25">
      <c r="A31" s="9"/>
      <c r="B31" s="8"/>
      <c r="C31" s="9"/>
      <c r="D31" s="8"/>
      <c r="E31" s="2"/>
      <c r="F31" s="9"/>
      <c r="G31" s="9"/>
      <c r="H31" s="9"/>
      <c r="I31" s="2"/>
      <c r="J31" s="9"/>
      <c r="K31" s="9"/>
      <c r="L31" s="9"/>
      <c r="M31" s="9"/>
      <c r="N31" s="8"/>
      <c r="O31" s="9"/>
      <c r="P31" s="9"/>
      <c r="Q31" s="9"/>
      <c r="R31" s="9"/>
      <c r="S31" s="8"/>
      <c r="T31" s="9"/>
      <c r="U31" s="9"/>
      <c r="V31" s="9"/>
      <c r="W31" s="9"/>
      <c r="X31" s="8"/>
      <c r="Y31" s="9"/>
      <c r="Z31" s="9"/>
      <c r="AA31" s="9"/>
      <c r="AB31" s="9"/>
      <c r="AC31" s="8"/>
      <c r="AD31" s="9"/>
      <c r="AE31" s="9"/>
      <c r="AF31" s="9"/>
      <c r="AG31" s="9"/>
      <c r="AH31" s="8"/>
      <c r="AI31" s="9"/>
      <c r="AJ31" s="9"/>
      <c r="AK31" s="9"/>
      <c r="AL31" s="9"/>
      <c r="AM31" s="8"/>
      <c r="AN31" s="9"/>
      <c r="AO31" s="9"/>
      <c r="AP31" s="9"/>
      <c r="AQ31" s="9"/>
      <c r="AR31" s="8"/>
      <c r="AS31" s="9"/>
      <c r="AT31" s="9"/>
      <c r="AU31" s="9"/>
      <c r="AV31" s="9"/>
      <c r="AW31" s="8"/>
      <c r="AX31" s="9"/>
      <c r="AY31" s="9"/>
      <c r="AZ31" s="9"/>
      <c r="BA31" s="9"/>
      <c r="BB31" s="8"/>
      <c r="BC31" s="9"/>
      <c r="BD31" s="9"/>
      <c r="BE31" s="9"/>
      <c r="BF31" s="9"/>
      <c r="BG31" s="8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8"/>
      <c r="BW31" s="9"/>
      <c r="BX31" s="9"/>
      <c r="BY31" s="9"/>
      <c r="BZ31" s="9"/>
      <c r="CA31" s="8"/>
      <c r="CB31" s="9"/>
      <c r="CC31" s="9"/>
      <c r="CD31" s="9"/>
      <c r="CE31" s="9"/>
      <c r="CF31" s="8"/>
      <c r="CG31" s="9"/>
      <c r="CH31" s="9"/>
      <c r="CI31" s="9"/>
      <c r="CJ31" s="9"/>
      <c r="CK31" s="9"/>
      <c r="CL31" s="10"/>
    </row>
    <row r="32" spans="1:91" ht="15.75" x14ac:dyDescent="0.25">
      <c r="A32" s="9"/>
      <c r="B32" s="8"/>
      <c r="C32" s="9"/>
      <c r="D32" s="8"/>
      <c r="E32" s="2"/>
      <c r="F32" s="9"/>
      <c r="G32" s="9"/>
      <c r="H32" s="9"/>
      <c r="I32" s="2"/>
      <c r="J32" s="9"/>
      <c r="K32" s="9"/>
      <c r="L32" s="9"/>
      <c r="M32" s="9"/>
      <c r="N32" s="8"/>
      <c r="O32" s="9"/>
      <c r="P32" s="9"/>
      <c r="Q32" s="9"/>
      <c r="R32" s="9"/>
      <c r="S32" s="8"/>
      <c r="T32" s="9"/>
      <c r="U32" s="9"/>
      <c r="V32" s="9"/>
      <c r="W32" s="9"/>
      <c r="X32" s="8"/>
      <c r="Y32" s="9"/>
      <c r="Z32" s="9"/>
      <c r="AA32" s="9"/>
      <c r="AB32" s="9"/>
      <c r="AC32" s="8"/>
      <c r="AD32" s="9"/>
      <c r="AE32" s="9"/>
      <c r="AF32" s="9"/>
      <c r="AG32" s="9"/>
      <c r="AH32" s="8"/>
      <c r="AI32" s="9"/>
      <c r="AJ32" s="9"/>
      <c r="AK32" s="9"/>
      <c r="AL32" s="9"/>
      <c r="AM32" s="8"/>
      <c r="AN32" s="9"/>
      <c r="AO32" s="9"/>
      <c r="AP32" s="9"/>
      <c r="AQ32" s="9"/>
      <c r="AR32" s="8"/>
      <c r="AS32" s="9"/>
      <c r="AT32" s="9"/>
      <c r="AU32" s="9"/>
      <c r="AV32" s="9"/>
      <c r="AW32" s="8"/>
      <c r="AX32" s="9"/>
      <c r="AY32" s="9"/>
      <c r="AZ32" s="9"/>
      <c r="BA32" s="9"/>
      <c r="BB32" s="8"/>
      <c r="BC32" s="9"/>
      <c r="BD32" s="9"/>
      <c r="BE32" s="9"/>
      <c r="BF32" s="9"/>
      <c r="BG32" s="8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8"/>
      <c r="BW32" s="9"/>
      <c r="BX32" s="9"/>
      <c r="BY32" s="9"/>
      <c r="BZ32" s="9"/>
      <c r="CA32" s="8"/>
      <c r="CB32" s="9"/>
      <c r="CC32" s="9"/>
      <c r="CD32" s="9"/>
      <c r="CE32" s="9"/>
      <c r="CF32" s="8"/>
      <c r="CG32" s="9"/>
      <c r="CH32" s="9"/>
      <c r="CI32" s="9"/>
      <c r="CJ32" s="9"/>
      <c r="CK32" s="9"/>
      <c r="CL32" s="10"/>
    </row>
    <row r="33" spans="1:90" ht="15.75" x14ac:dyDescent="0.25">
      <c r="A33" s="9"/>
      <c r="B33" s="2"/>
      <c r="C33" s="9"/>
      <c r="D33" s="2"/>
      <c r="E33" s="2"/>
      <c r="F33" s="9"/>
      <c r="G33" s="9"/>
      <c r="H33" s="9"/>
      <c r="I33" s="2"/>
      <c r="J33" s="9"/>
      <c r="K33" s="9"/>
      <c r="L33" s="9"/>
      <c r="M33" s="9"/>
      <c r="N33" s="2"/>
      <c r="O33" s="9"/>
      <c r="P33" s="9"/>
      <c r="Q33" s="9"/>
      <c r="R33" s="9"/>
      <c r="S33" s="2"/>
      <c r="T33" s="9"/>
      <c r="U33" s="9"/>
      <c r="V33" s="9"/>
      <c r="W33" s="9"/>
      <c r="X33" s="2"/>
      <c r="Y33" s="9"/>
      <c r="Z33" s="9"/>
      <c r="AA33" s="9"/>
      <c r="AB33" s="9"/>
      <c r="AC33" s="2"/>
      <c r="AD33" s="9"/>
      <c r="AE33" s="9"/>
      <c r="AF33" s="9"/>
      <c r="AG33" s="9"/>
      <c r="AH33" s="2"/>
      <c r="AI33" s="9"/>
      <c r="AJ33" s="9"/>
      <c r="AK33" s="9"/>
      <c r="AL33" s="9"/>
      <c r="AM33" s="2"/>
      <c r="AN33" s="9"/>
      <c r="AO33" s="9"/>
      <c r="AP33" s="9"/>
      <c r="AQ33" s="9"/>
      <c r="AR33" s="2"/>
      <c r="AS33" s="9"/>
      <c r="AT33" s="9"/>
      <c r="AU33" s="9"/>
      <c r="AV33" s="9"/>
      <c r="AW33" s="2"/>
      <c r="AX33" s="9"/>
      <c r="AY33" s="9"/>
      <c r="AZ33" s="9"/>
      <c r="BA33" s="9"/>
      <c r="BB33" s="2"/>
      <c r="BC33" s="9"/>
      <c r="BD33" s="9"/>
      <c r="BE33" s="9"/>
      <c r="BF33" s="9"/>
      <c r="BG33" s="2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2"/>
      <c r="BW33" s="9"/>
      <c r="BX33" s="9"/>
      <c r="BY33" s="9"/>
      <c r="BZ33" s="9"/>
      <c r="CA33" s="2"/>
      <c r="CB33" s="9"/>
      <c r="CC33" s="9"/>
      <c r="CD33" s="9"/>
      <c r="CE33" s="9"/>
      <c r="CF33" s="2"/>
      <c r="CG33" s="9"/>
      <c r="CH33" s="9"/>
      <c r="CI33" s="9"/>
      <c r="CJ33" s="9"/>
      <c r="CK33" s="9"/>
      <c r="CL33" s="10"/>
    </row>
    <row r="34" spans="1:90" ht="15.75" x14ac:dyDescent="0.25">
      <c r="A34" s="9"/>
      <c r="B34" s="2"/>
      <c r="C34" s="9"/>
      <c r="D34" s="2"/>
      <c r="E34" s="2"/>
      <c r="F34" s="9"/>
      <c r="G34" s="9"/>
      <c r="H34" s="9"/>
      <c r="I34" s="2"/>
      <c r="J34" s="9"/>
      <c r="K34" s="9"/>
      <c r="L34" s="9"/>
      <c r="M34" s="9"/>
      <c r="N34" s="2"/>
      <c r="O34" s="9"/>
      <c r="P34" s="9"/>
      <c r="Q34" s="9"/>
      <c r="R34" s="9"/>
      <c r="S34" s="2"/>
      <c r="T34" s="9"/>
      <c r="U34" s="9"/>
      <c r="V34" s="9"/>
      <c r="W34" s="9"/>
      <c r="X34" s="2"/>
      <c r="Y34" s="9"/>
      <c r="Z34" s="9"/>
      <c r="AA34" s="9"/>
      <c r="AB34" s="9"/>
      <c r="AC34" s="2"/>
      <c r="AD34" s="9"/>
      <c r="AE34" s="9"/>
      <c r="AF34" s="9"/>
      <c r="AG34" s="9"/>
      <c r="AH34" s="2"/>
      <c r="AI34" s="9"/>
      <c r="AJ34" s="9"/>
      <c r="AK34" s="9"/>
      <c r="AL34" s="9"/>
      <c r="AM34" s="2"/>
      <c r="AN34" s="9"/>
      <c r="AO34" s="9"/>
      <c r="AP34" s="9"/>
      <c r="AQ34" s="9"/>
      <c r="AR34" s="2"/>
      <c r="AS34" s="9"/>
      <c r="AT34" s="9"/>
      <c r="AU34" s="9"/>
      <c r="AV34" s="9"/>
      <c r="AW34" s="2"/>
      <c r="AX34" s="9"/>
      <c r="AY34" s="9"/>
      <c r="AZ34" s="9"/>
      <c r="BA34" s="9"/>
      <c r="BB34" s="2"/>
      <c r="BC34" s="9"/>
      <c r="BD34" s="9"/>
      <c r="BE34" s="9"/>
      <c r="BF34" s="9"/>
      <c r="BG34" s="2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2"/>
      <c r="BW34" s="9"/>
      <c r="BX34" s="9"/>
      <c r="BY34" s="9"/>
      <c r="BZ34" s="9"/>
      <c r="CA34" s="2"/>
      <c r="CB34" s="9"/>
      <c r="CC34" s="9"/>
      <c r="CD34" s="9"/>
      <c r="CE34" s="9"/>
      <c r="CF34" s="2"/>
      <c r="CG34" s="9"/>
      <c r="CH34" s="9"/>
      <c r="CI34" s="9"/>
      <c r="CJ34" s="9"/>
      <c r="CK34" s="9"/>
      <c r="CL34" s="10"/>
    </row>
    <row r="35" spans="1:90" s="1" customFormat="1" ht="15.75" x14ac:dyDescent="0.25">
      <c r="A35" s="9"/>
      <c r="B35" s="2"/>
      <c r="C35" s="9"/>
      <c r="D35" s="2"/>
      <c r="E35" s="2"/>
      <c r="F35" s="9"/>
      <c r="G35" s="9"/>
      <c r="H35" s="9"/>
      <c r="I35" s="2"/>
      <c r="J35" s="9"/>
      <c r="K35" s="9"/>
      <c r="L35" s="9"/>
      <c r="M35" s="9"/>
      <c r="N35" s="2"/>
      <c r="O35" s="9"/>
      <c r="P35" s="9"/>
      <c r="Q35" s="9"/>
      <c r="R35" s="9"/>
      <c r="S35" s="2"/>
      <c r="T35" s="9"/>
      <c r="U35" s="9"/>
      <c r="V35" s="9"/>
      <c r="W35" s="9"/>
      <c r="X35" s="2"/>
      <c r="Y35" s="9"/>
      <c r="Z35" s="9"/>
      <c r="AA35" s="9"/>
      <c r="AB35" s="9"/>
      <c r="AC35" s="2"/>
      <c r="AD35" s="9"/>
      <c r="AE35" s="9"/>
      <c r="AF35" s="9"/>
      <c r="AG35" s="9"/>
      <c r="AH35" s="2"/>
      <c r="AI35" s="9"/>
      <c r="AJ35" s="9"/>
      <c r="AK35" s="9"/>
      <c r="AL35" s="9"/>
      <c r="AM35" s="2"/>
      <c r="AN35" s="9"/>
      <c r="AO35" s="9"/>
      <c r="AP35" s="9"/>
      <c r="AQ35" s="9"/>
      <c r="AR35" s="2"/>
      <c r="AS35" s="9"/>
      <c r="AT35" s="9"/>
      <c r="AU35" s="9"/>
      <c r="AV35" s="9"/>
      <c r="AW35" s="2"/>
      <c r="AX35" s="9"/>
      <c r="AY35" s="9"/>
      <c r="AZ35" s="9"/>
      <c r="BA35" s="9"/>
      <c r="BB35" s="2"/>
      <c r="BC35" s="9"/>
      <c r="BD35" s="9"/>
      <c r="BE35" s="9"/>
      <c r="BF35" s="9"/>
      <c r="BG35" s="2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2"/>
      <c r="BW35" s="9"/>
      <c r="BX35" s="9"/>
      <c r="BY35" s="9"/>
      <c r="BZ35" s="9"/>
      <c r="CA35" s="2"/>
      <c r="CB35" s="9"/>
      <c r="CC35" s="9"/>
      <c r="CD35" s="9"/>
      <c r="CE35" s="9"/>
      <c r="CF35" s="2"/>
      <c r="CG35" s="9"/>
      <c r="CH35" s="9"/>
      <c r="CI35" s="9"/>
      <c r="CJ35" s="9"/>
      <c r="CK35" s="9"/>
      <c r="CL35" s="10"/>
    </row>
    <row r="36" spans="1:90" s="1" customFormat="1" ht="15.75" x14ac:dyDescent="0.25">
      <c r="A36" s="9"/>
      <c r="B36" s="2"/>
      <c r="C36" s="9"/>
      <c r="D36" s="2"/>
      <c r="E36" s="2"/>
      <c r="F36" s="9"/>
      <c r="G36" s="9"/>
      <c r="H36" s="9"/>
      <c r="I36" s="2"/>
      <c r="J36" s="9"/>
      <c r="K36" s="9"/>
      <c r="L36" s="9"/>
      <c r="M36" s="9"/>
      <c r="N36" s="2"/>
      <c r="O36" s="9"/>
      <c r="P36" s="9"/>
      <c r="Q36" s="9"/>
      <c r="R36" s="9"/>
      <c r="S36" s="2"/>
      <c r="T36" s="9"/>
      <c r="U36" s="9"/>
      <c r="V36" s="9"/>
      <c r="W36" s="9"/>
      <c r="X36" s="2"/>
      <c r="Y36" s="9"/>
      <c r="Z36" s="9"/>
      <c r="AA36" s="9"/>
      <c r="AB36" s="9"/>
      <c r="AC36" s="2"/>
      <c r="AD36" s="9"/>
      <c r="AE36" s="9"/>
      <c r="AF36" s="9"/>
      <c r="AG36" s="9"/>
      <c r="AH36" s="2"/>
      <c r="AI36" s="9"/>
      <c r="AJ36" s="9"/>
      <c r="AK36" s="9"/>
      <c r="AL36" s="9"/>
      <c r="AM36" s="2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2"/>
      <c r="CB36" s="9"/>
      <c r="CC36" s="9"/>
      <c r="CD36" s="9"/>
      <c r="CE36" s="9"/>
      <c r="CF36" s="9"/>
      <c r="CG36" s="10"/>
      <c r="CH36" s="2"/>
      <c r="CI36" s="2"/>
      <c r="CJ36" s="2"/>
      <c r="CK36" s="2"/>
      <c r="CL36" s="2"/>
    </row>
    <row r="37" spans="1:90" s="1" customFormat="1" ht="15.75" x14ac:dyDescent="0.25">
      <c r="A37" s="5"/>
      <c r="C37" s="5"/>
      <c r="F37" s="9"/>
      <c r="G37" s="9"/>
      <c r="H37" s="9"/>
      <c r="I37" s="2"/>
      <c r="J37" s="9"/>
      <c r="K37" s="9"/>
      <c r="L37" s="9"/>
      <c r="M37" s="9"/>
      <c r="N37" s="2"/>
      <c r="O37" s="9"/>
      <c r="P37" s="9"/>
      <c r="Q37" s="9"/>
      <c r="R37" s="9"/>
      <c r="S37" s="2"/>
      <c r="T37" s="9"/>
      <c r="U37" s="9"/>
      <c r="V37" s="9"/>
      <c r="W37" s="9"/>
      <c r="X37" s="2"/>
      <c r="Y37" s="9"/>
      <c r="Z37" s="9"/>
      <c r="AA37" s="9"/>
      <c r="AB37" s="9"/>
      <c r="AC37" s="2"/>
      <c r="AD37" s="9"/>
      <c r="AE37" s="9"/>
      <c r="AF37" s="9"/>
      <c r="AG37" s="9"/>
      <c r="AH37" s="2"/>
      <c r="AI37" s="9"/>
      <c r="AJ37" s="9"/>
      <c r="AK37" s="9"/>
      <c r="AL37" s="9"/>
      <c r="AM37" s="2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2"/>
      <c r="CB37" s="9"/>
      <c r="CC37" s="9"/>
      <c r="CD37" s="9"/>
      <c r="CE37" s="9"/>
      <c r="CF37" s="9"/>
      <c r="CG37" s="10"/>
    </row>
    <row r="38" spans="1:90" s="1" customFormat="1" ht="15.75" x14ac:dyDescent="0.25">
      <c r="A38" s="5"/>
      <c r="B38" s="6"/>
      <c r="C38" s="5"/>
      <c r="F38" s="9"/>
      <c r="G38" s="9"/>
      <c r="H38" s="9"/>
      <c r="I38" s="2"/>
      <c r="J38" s="9"/>
      <c r="K38" s="9"/>
      <c r="L38" s="9"/>
      <c r="M38" s="9"/>
      <c r="N38" s="2"/>
      <c r="O38" s="9"/>
      <c r="P38" s="9"/>
      <c r="Q38" s="9"/>
      <c r="R38" s="9"/>
      <c r="S38" s="2"/>
      <c r="T38" s="9"/>
      <c r="U38" s="9"/>
      <c r="V38" s="9"/>
      <c r="W38" s="9"/>
      <c r="X38" s="2"/>
      <c r="Y38" s="9"/>
      <c r="Z38" s="9"/>
      <c r="AA38" s="9"/>
      <c r="AB38" s="9"/>
      <c r="AC38" s="2"/>
      <c r="AD38" s="9"/>
      <c r="AE38" s="9"/>
      <c r="AF38" s="9"/>
      <c r="AG38" s="9"/>
      <c r="AH38" s="2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2"/>
      <c r="CB38" s="9"/>
      <c r="CC38" s="9"/>
      <c r="CD38" s="9"/>
      <c r="CE38" s="9"/>
      <c r="CF38" s="9"/>
      <c r="CG38" s="10"/>
    </row>
    <row r="39" spans="1:90" s="1" customFormat="1" ht="15.75" x14ac:dyDescent="0.25">
      <c r="A39" s="5"/>
      <c r="B39" s="6"/>
      <c r="C39" s="5"/>
      <c r="F39" s="9"/>
      <c r="G39" s="9"/>
      <c r="H39" s="9"/>
      <c r="I39" s="2"/>
      <c r="J39" s="9"/>
      <c r="K39" s="9"/>
      <c r="L39" s="9"/>
      <c r="M39" s="9"/>
      <c r="N39" s="2"/>
      <c r="O39" s="9"/>
      <c r="P39" s="9"/>
      <c r="Q39" s="9"/>
      <c r="R39" s="9"/>
      <c r="S39" s="2"/>
      <c r="T39" s="9"/>
      <c r="U39" s="9"/>
      <c r="V39" s="9"/>
      <c r="W39" s="9"/>
      <c r="X39" s="2"/>
      <c r="Y39" s="9"/>
      <c r="Z39" s="9"/>
      <c r="AA39" s="9"/>
      <c r="AB39" s="9"/>
      <c r="AC39" s="2"/>
      <c r="AD39" s="9"/>
      <c r="AE39" s="9"/>
      <c r="AF39" s="9"/>
      <c r="AG39" s="9"/>
      <c r="AH39" s="2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2"/>
      <c r="CB39" s="9"/>
      <c r="CC39" s="9"/>
      <c r="CD39" s="9"/>
      <c r="CE39" s="9"/>
      <c r="CF39" s="9"/>
      <c r="CG39" s="10"/>
    </row>
    <row r="40" spans="1:90" s="1" customFormat="1" ht="15.75" x14ac:dyDescent="0.25">
      <c r="A40" s="5"/>
      <c r="B40" s="6"/>
      <c r="C40" s="5"/>
      <c r="F40" s="9"/>
      <c r="G40" s="9"/>
      <c r="H40" s="9"/>
      <c r="I40" s="2"/>
      <c r="J40" s="9"/>
      <c r="K40" s="9"/>
      <c r="L40" s="9"/>
      <c r="M40" s="9"/>
      <c r="N40" s="2"/>
      <c r="O40" s="9"/>
      <c r="P40" s="9"/>
      <c r="Q40" s="9"/>
      <c r="R40" s="9"/>
      <c r="S40" s="2"/>
      <c r="T40" s="9"/>
      <c r="U40" s="9"/>
      <c r="V40" s="9"/>
      <c r="W40" s="9"/>
      <c r="X40" s="2"/>
      <c r="Y40" s="9"/>
      <c r="Z40" s="9"/>
      <c r="AA40" s="9"/>
      <c r="AB40" s="9"/>
      <c r="AC40" s="2"/>
      <c r="AD40" s="9"/>
      <c r="AE40" s="9"/>
      <c r="AF40" s="9"/>
      <c r="AG40" s="9"/>
      <c r="AH40" s="2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2"/>
      <c r="CB40" s="9"/>
      <c r="CC40" s="9"/>
      <c r="CD40" s="9"/>
      <c r="CE40" s="9"/>
      <c r="CF40" s="9"/>
      <c r="CG40" s="10"/>
    </row>
    <row r="41" spans="1:90" s="1" customFormat="1" x14ac:dyDescent="0.25"/>
    <row r="42" spans="1:90" s="1" customFormat="1" x14ac:dyDescent="0.25"/>
    <row r="43" spans="1:90" s="1" customFormat="1" x14ac:dyDescent="0.25"/>
    <row r="44" spans="1:90" s="1" customFormat="1" x14ac:dyDescent="0.25"/>
  </sheetData>
  <mergeCells count="20">
    <mergeCell ref="AB2:AF2"/>
    <mergeCell ref="C2:G2"/>
    <mergeCell ref="H2:L2"/>
    <mergeCell ref="M2:Q2"/>
    <mergeCell ref="R2:V2"/>
    <mergeCell ref="W2:AA2"/>
    <mergeCell ref="AQ2:AU2"/>
    <mergeCell ref="CJ2:CJ3"/>
    <mergeCell ref="CK2:CK3"/>
    <mergeCell ref="CL2:CL3"/>
    <mergeCell ref="AG2:AK2"/>
    <mergeCell ref="AL2:AP2"/>
    <mergeCell ref="CE2:CI2"/>
    <mergeCell ref="AV2:AZ2"/>
    <mergeCell ref="BA2:BE2"/>
    <mergeCell ref="BF2:BJ2"/>
    <mergeCell ref="BU2:BY2"/>
    <mergeCell ref="BZ2:CD2"/>
    <mergeCell ref="BK2:BO2"/>
    <mergeCell ref="BP2:BT2"/>
  </mergeCells>
  <pageMargins left="0.7" right="0.7" top="0.75" bottom="0.7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N2" sqref="N2:N15"/>
    </sheetView>
  </sheetViews>
  <sheetFormatPr defaultRowHeight="15" x14ac:dyDescent="0.25"/>
  <cols>
    <col min="1" max="1" width="3.85546875" bestFit="1" customWidth="1"/>
    <col min="2" max="2" width="28.5703125" bestFit="1" customWidth="1"/>
    <col min="3" max="12" width="3.85546875" bestFit="1" customWidth="1"/>
    <col min="13" max="13" width="4.42578125" bestFit="1" customWidth="1"/>
    <col min="14" max="16" width="3.85546875" bestFit="1" customWidth="1"/>
    <col min="17" max="17" width="6.7109375" bestFit="1" customWidth="1"/>
    <col min="18" max="18" width="13.7109375" bestFit="1" customWidth="1"/>
  </cols>
  <sheetData>
    <row r="1" spans="1:18" ht="86.25" x14ac:dyDescent="0.25">
      <c r="A1" s="19" t="s">
        <v>15</v>
      </c>
      <c r="B1" s="19" t="s">
        <v>0</v>
      </c>
      <c r="C1" s="19" t="s">
        <v>1</v>
      </c>
      <c r="D1" s="19" t="s">
        <v>28</v>
      </c>
      <c r="E1" s="19" t="s">
        <v>16</v>
      </c>
      <c r="F1" s="19" t="s">
        <v>31</v>
      </c>
      <c r="G1" s="19" t="s">
        <v>21</v>
      </c>
      <c r="H1" s="19" t="s">
        <v>27</v>
      </c>
      <c r="I1" s="19" t="s">
        <v>22</v>
      </c>
      <c r="J1" s="19" t="s">
        <v>23</v>
      </c>
      <c r="K1" s="19" t="s">
        <v>30</v>
      </c>
      <c r="L1" s="19" t="s">
        <v>24</v>
      </c>
      <c r="M1" s="19" t="s">
        <v>4</v>
      </c>
      <c r="N1" s="19" t="s">
        <v>25</v>
      </c>
      <c r="O1" s="19" t="s">
        <v>47</v>
      </c>
      <c r="P1" s="19" t="s">
        <v>33</v>
      </c>
      <c r="Q1" s="19" t="s">
        <v>2</v>
      </c>
      <c r="R1" s="19" t="s">
        <v>3</v>
      </c>
    </row>
    <row r="2" spans="1:18" ht="15.75" x14ac:dyDescent="0.25">
      <c r="A2" s="14">
        <v>1</v>
      </c>
      <c r="B2" s="14" t="s">
        <v>6</v>
      </c>
      <c r="C2" s="16">
        <v>14</v>
      </c>
      <c r="D2" s="15">
        <v>16</v>
      </c>
      <c r="E2" s="16">
        <v>20</v>
      </c>
      <c r="F2" s="16">
        <v>14</v>
      </c>
      <c r="G2" s="16">
        <v>20</v>
      </c>
      <c r="H2" s="16">
        <v>20</v>
      </c>
      <c r="I2" s="16">
        <v>15</v>
      </c>
      <c r="J2" s="16">
        <v>20</v>
      </c>
      <c r="K2" s="16">
        <v>20</v>
      </c>
      <c r="L2" s="16">
        <v>18</v>
      </c>
      <c r="M2" s="16">
        <v>16</v>
      </c>
      <c r="N2" s="16">
        <v>19</v>
      </c>
      <c r="O2" s="16">
        <v>20</v>
      </c>
      <c r="P2" s="16">
        <v>18</v>
      </c>
      <c r="Q2" s="17">
        <f t="shared" ref="Q2:Q15" si="0">SUM(C2:P2)</f>
        <v>250</v>
      </c>
      <c r="R2" s="17">
        <f t="shared" ref="R2:R15" si="1">AVERAGE(C2:P2)</f>
        <v>17.857142857142858</v>
      </c>
    </row>
    <row r="3" spans="1:18" ht="15.75" x14ac:dyDescent="0.25">
      <c r="A3" s="14">
        <v>2</v>
      </c>
      <c r="B3" s="14" t="s">
        <v>17</v>
      </c>
      <c r="C3" s="16">
        <v>7</v>
      </c>
      <c r="D3" s="15">
        <v>18</v>
      </c>
      <c r="E3" s="16">
        <v>8</v>
      </c>
      <c r="F3" s="16">
        <v>5</v>
      </c>
      <c r="G3" s="16">
        <v>17</v>
      </c>
      <c r="H3" s="16">
        <v>18</v>
      </c>
      <c r="I3" s="16">
        <v>17</v>
      </c>
      <c r="J3" s="16">
        <v>20</v>
      </c>
      <c r="K3" s="16">
        <v>18</v>
      </c>
      <c r="L3" s="16">
        <v>6</v>
      </c>
      <c r="M3" s="16">
        <v>12</v>
      </c>
      <c r="N3" s="16">
        <v>17</v>
      </c>
      <c r="O3" s="16">
        <v>18</v>
      </c>
      <c r="P3" s="16">
        <v>10</v>
      </c>
      <c r="Q3" s="17">
        <f t="shared" si="0"/>
        <v>191</v>
      </c>
      <c r="R3" s="17">
        <f t="shared" si="1"/>
        <v>13.642857142857142</v>
      </c>
    </row>
    <row r="4" spans="1:18" ht="15.75" x14ac:dyDescent="0.25">
      <c r="A4" s="14">
        <v>3</v>
      </c>
      <c r="B4" s="14" t="s">
        <v>18</v>
      </c>
      <c r="C4" s="16">
        <v>19</v>
      </c>
      <c r="D4" s="15">
        <v>14</v>
      </c>
      <c r="E4" s="16">
        <v>18</v>
      </c>
      <c r="F4" s="16">
        <v>9</v>
      </c>
      <c r="G4" s="16">
        <v>19</v>
      </c>
      <c r="H4" s="16">
        <v>20</v>
      </c>
      <c r="I4" s="16">
        <v>15</v>
      </c>
      <c r="J4" s="16">
        <v>20</v>
      </c>
      <c r="K4" s="16">
        <v>18</v>
      </c>
      <c r="L4" s="16">
        <v>8</v>
      </c>
      <c r="M4" s="16">
        <v>4</v>
      </c>
      <c r="N4" s="16">
        <v>18</v>
      </c>
      <c r="O4" s="16">
        <v>20</v>
      </c>
      <c r="P4" s="16">
        <v>14</v>
      </c>
      <c r="Q4" s="17">
        <f t="shared" si="0"/>
        <v>216</v>
      </c>
      <c r="R4" s="17">
        <f t="shared" si="1"/>
        <v>15.428571428571429</v>
      </c>
    </row>
    <row r="5" spans="1:18" ht="15.75" x14ac:dyDescent="0.25">
      <c r="A5" s="14">
        <v>4</v>
      </c>
      <c r="B5" s="14" t="s">
        <v>5</v>
      </c>
      <c r="C5" s="16">
        <v>6</v>
      </c>
      <c r="D5" s="15">
        <v>16</v>
      </c>
      <c r="E5" s="16">
        <v>16</v>
      </c>
      <c r="F5" s="16">
        <v>10</v>
      </c>
      <c r="G5" s="16">
        <v>14</v>
      </c>
      <c r="H5" s="16">
        <v>18</v>
      </c>
      <c r="I5" s="16">
        <v>9</v>
      </c>
      <c r="J5" s="16">
        <v>20</v>
      </c>
      <c r="K5" s="16">
        <v>13</v>
      </c>
      <c r="L5" s="16">
        <v>6</v>
      </c>
      <c r="M5" s="16">
        <v>1</v>
      </c>
      <c r="N5" s="16">
        <v>15</v>
      </c>
      <c r="O5" s="16">
        <v>13</v>
      </c>
      <c r="P5" s="16">
        <v>0</v>
      </c>
      <c r="Q5" s="17">
        <f t="shared" si="0"/>
        <v>157</v>
      </c>
      <c r="R5" s="17">
        <f t="shared" si="1"/>
        <v>11.214285714285714</v>
      </c>
    </row>
    <row r="6" spans="1:18" ht="15.75" x14ac:dyDescent="0.25">
      <c r="A6" s="14">
        <v>5</v>
      </c>
      <c r="B6" s="14" t="s">
        <v>19</v>
      </c>
      <c r="C6" s="16">
        <v>8</v>
      </c>
      <c r="D6" s="15">
        <v>18</v>
      </c>
      <c r="E6" s="16">
        <v>12</v>
      </c>
      <c r="F6" s="16">
        <v>0</v>
      </c>
      <c r="G6" s="16">
        <v>11</v>
      </c>
      <c r="H6" s="16">
        <v>13</v>
      </c>
      <c r="I6" s="16">
        <v>5</v>
      </c>
      <c r="J6" s="16">
        <v>20</v>
      </c>
      <c r="K6" s="16">
        <v>17</v>
      </c>
      <c r="L6" s="16">
        <v>2</v>
      </c>
      <c r="M6" s="16">
        <v>2</v>
      </c>
      <c r="N6" s="16">
        <v>13</v>
      </c>
      <c r="O6" s="16">
        <v>13</v>
      </c>
      <c r="P6" s="16">
        <v>1</v>
      </c>
      <c r="Q6" s="17">
        <f t="shared" si="0"/>
        <v>135</v>
      </c>
      <c r="R6" s="17">
        <f t="shared" si="1"/>
        <v>9.6428571428571423</v>
      </c>
    </row>
    <row r="7" spans="1:18" ht="15.75" x14ac:dyDescent="0.25">
      <c r="A7" s="14">
        <v>6</v>
      </c>
      <c r="B7" s="14" t="s">
        <v>7</v>
      </c>
      <c r="C7" s="16">
        <v>10</v>
      </c>
      <c r="D7" s="15">
        <v>10</v>
      </c>
      <c r="E7" s="16">
        <v>7</v>
      </c>
      <c r="F7" s="16">
        <v>4</v>
      </c>
      <c r="G7" s="16">
        <v>16</v>
      </c>
      <c r="H7" s="16">
        <v>13</v>
      </c>
      <c r="I7" s="16">
        <v>12</v>
      </c>
      <c r="J7" s="16">
        <v>19</v>
      </c>
      <c r="K7" s="16">
        <v>18</v>
      </c>
      <c r="L7" s="16">
        <v>10</v>
      </c>
      <c r="M7" s="16">
        <v>12</v>
      </c>
      <c r="N7" s="16">
        <v>17</v>
      </c>
      <c r="O7" s="16">
        <v>17</v>
      </c>
      <c r="P7" s="16">
        <v>11</v>
      </c>
      <c r="Q7" s="17">
        <f t="shared" si="0"/>
        <v>176</v>
      </c>
      <c r="R7" s="17">
        <f t="shared" si="1"/>
        <v>12.571428571428571</v>
      </c>
    </row>
    <row r="8" spans="1:18" ht="15.75" x14ac:dyDescent="0.25">
      <c r="A8" s="14">
        <v>7</v>
      </c>
      <c r="B8" s="14" t="s">
        <v>20</v>
      </c>
      <c r="C8" s="16">
        <v>6</v>
      </c>
      <c r="D8" s="15">
        <v>16</v>
      </c>
      <c r="E8" s="16">
        <v>8</v>
      </c>
      <c r="F8" s="16">
        <v>6</v>
      </c>
      <c r="G8" s="16">
        <v>2</v>
      </c>
      <c r="H8" s="16">
        <v>10</v>
      </c>
      <c r="I8" s="16">
        <v>3</v>
      </c>
      <c r="J8" s="16">
        <v>16</v>
      </c>
      <c r="K8" s="16">
        <v>5</v>
      </c>
      <c r="L8" s="16">
        <v>2</v>
      </c>
      <c r="M8" s="16">
        <v>0.5</v>
      </c>
      <c r="N8" s="16">
        <v>12</v>
      </c>
      <c r="O8" s="16">
        <v>12</v>
      </c>
      <c r="P8" s="16">
        <v>2</v>
      </c>
      <c r="Q8" s="17">
        <f t="shared" si="0"/>
        <v>100.5</v>
      </c>
      <c r="R8" s="17">
        <f t="shared" si="1"/>
        <v>7.1785714285714288</v>
      </c>
    </row>
    <row r="9" spans="1:18" ht="15.75" x14ac:dyDescent="0.25">
      <c r="A9" s="14">
        <v>8</v>
      </c>
      <c r="B9" s="14" t="s">
        <v>48</v>
      </c>
      <c r="C9" s="16">
        <v>6</v>
      </c>
      <c r="D9" s="15">
        <v>14</v>
      </c>
      <c r="E9" s="16">
        <v>16</v>
      </c>
      <c r="F9" s="16">
        <v>7</v>
      </c>
      <c r="G9" s="16">
        <v>10</v>
      </c>
      <c r="H9" s="16">
        <v>14</v>
      </c>
      <c r="I9" s="16">
        <v>12</v>
      </c>
      <c r="J9" s="16">
        <v>20</v>
      </c>
      <c r="K9" s="16">
        <v>14</v>
      </c>
      <c r="L9" s="16">
        <v>5</v>
      </c>
      <c r="M9" s="16">
        <v>1.5</v>
      </c>
      <c r="N9" s="16">
        <v>15</v>
      </c>
      <c r="O9" s="16">
        <v>20</v>
      </c>
      <c r="P9" s="16">
        <v>0</v>
      </c>
      <c r="Q9" s="17">
        <f t="shared" si="0"/>
        <v>154.5</v>
      </c>
      <c r="R9" s="17">
        <f t="shared" si="1"/>
        <v>11.035714285714286</v>
      </c>
    </row>
    <row r="10" spans="1:18" ht="15.75" x14ac:dyDescent="0.25">
      <c r="A10" s="14">
        <v>9</v>
      </c>
      <c r="B10" s="14" t="s">
        <v>49</v>
      </c>
      <c r="C10" s="16">
        <v>7</v>
      </c>
      <c r="D10" s="15">
        <v>18</v>
      </c>
      <c r="E10" s="16">
        <v>12</v>
      </c>
      <c r="F10" s="16">
        <v>7</v>
      </c>
      <c r="G10" s="16">
        <v>13</v>
      </c>
      <c r="H10" s="16">
        <v>13</v>
      </c>
      <c r="I10" s="16">
        <v>11</v>
      </c>
      <c r="J10" s="16">
        <v>20</v>
      </c>
      <c r="K10" s="16">
        <v>9</v>
      </c>
      <c r="L10" s="16">
        <v>2</v>
      </c>
      <c r="M10" s="16">
        <v>4.5</v>
      </c>
      <c r="N10" s="16">
        <v>16</v>
      </c>
      <c r="O10" s="16">
        <v>13</v>
      </c>
      <c r="P10" s="16">
        <v>1</v>
      </c>
      <c r="Q10" s="17">
        <f t="shared" si="0"/>
        <v>146.5</v>
      </c>
      <c r="R10" s="17">
        <f t="shared" si="1"/>
        <v>10.464285714285714</v>
      </c>
    </row>
    <row r="11" spans="1:18" ht="15.75" x14ac:dyDescent="0.25">
      <c r="A11" s="14">
        <v>10</v>
      </c>
      <c r="B11" s="14" t="s">
        <v>50</v>
      </c>
      <c r="C11" s="16">
        <v>6</v>
      </c>
      <c r="D11" s="15">
        <v>18</v>
      </c>
      <c r="E11" s="16">
        <v>6</v>
      </c>
      <c r="F11" s="16">
        <v>4</v>
      </c>
      <c r="G11" s="16">
        <v>9</v>
      </c>
      <c r="H11" s="16">
        <v>12</v>
      </c>
      <c r="I11" s="16">
        <v>9</v>
      </c>
      <c r="J11" s="16">
        <v>17</v>
      </c>
      <c r="K11" s="16">
        <v>6</v>
      </c>
      <c r="L11" s="16">
        <v>2</v>
      </c>
      <c r="M11" s="16">
        <v>4</v>
      </c>
      <c r="N11" s="16">
        <v>15</v>
      </c>
      <c r="O11" s="16">
        <v>15</v>
      </c>
      <c r="P11" s="16">
        <v>1</v>
      </c>
      <c r="Q11" s="17">
        <f t="shared" si="0"/>
        <v>124</v>
      </c>
      <c r="R11" s="17">
        <f t="shared" si="1"/>
        <v>8.8571428571428577</v>
      </c>
    </row>
    <row r="12" spans="1:18" ht="15.75" x14ac:dyDescent="0.25">
      <c r="A12" s="14">
        <v>11</v>
      </c>
      <c r="B12" s="14" t="s">
        <v>51</v>
      </c>
      <c r="C12" s="16">
        <v>6</v>
      </c>
      <c r="D12" s="15">
        <v>18</v>
      </c>
      <c r="E12" s="16">
        <v>16</v>
      </c>
      <c r="F12" s="16">
        <v>5</v>
      </c>
      <c r="G12" s="16">
        <v>10</v>
      </c>
      <c r="H12" s="16">
        <v>15</v>
      </c>
      <c r="I12" s="16">
        <v>9</v>
      </c>
      <c r="J12" s="16">
        <v>20</v>
      </c>
      <c r="K12" s="16">
        <v>18</v>
      </c>
      <c r="L12" s="16">
        <v>9</v>
      </c>
      <c r="M12" s="16">
        <v>9</v>
      </c>
      <c r="N12" s="16">
        <v>15</v>
      </c>
      <c r="O12" s="16">
        <v>0</v>
      </c>
      <c r="P12" s="16">
        <v>8</v>
      </c>
      <c r="Q12" s="17">
        <f t="shared" si="0"/>
        <v>158</v>
      </c>
      <c r="R12" s="17">
        <f t="shared" si="1"/>
        <v>11.285714285714286</v>
      </c>
    </row>
    <row r="13" spans="1:18" ht="15.75" x14ac:dyDescent="0.25">
      <c r="A13" s="14">
        <v>12</v>
      </c>
      <c r="B13" s="14" t="s">
        <v>52</v>
      </c>
      <c r="C13" s="16">
        <v>16</v>
      </c>
      <c r="D13" s="15">
        <v>18</v>
      </c>
      <c r="E13" s="16">
        <v>16</v>
      </c>
      <c r="F13" s="16">
        <v>13</v>
      </c>
      <c r="G13" s="16">
        <v>18</v>
      </c>
      <c r="H13" s="16">
        <v>11</v>
      </c>
      <c r="I13" s="16">
        <v>10</v>
      </c>
      <c r="J13" s="16">
        <v>20</v>
      </c>
      <c r="K13" s="16">
        <v>18</v>
      </c>
      <c r="L13" s="16">
        <v>10</v>
      </c>
      <c r="M13" s="16">
        <v>10</v>
      </c>
      <c r="N13" s="16">
        <v>14</v>
      </c>
      <c r="O13" s="16">
        <v>19</v>
      </c>
      <c r="P13" s="16">
        <v>6</v>
      </c>
      <c r="Q13" s="17">
        <f t="shared" si="0"/>
        <v>199</v>
      </c>
      <c r="R13" s="17">
        <f t="shared" si="1"/>
        <v>14.214285714285714</v>
      </c>
    </row>
    <row r="14" spans="1:18" ht="15.75" x14ac:dyDescent="0.25">
      <c r="A14" s="14">
        <v>13</v>
      </c>
      <c r="B14" s="14" t="s">
        <v>53</v>
      </c>
      <c r="C14" s="16">
        <v>0</v>
      </c>
      <c r="D14" s="15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7">
        <f t="shared" si="0"/>
        <v>0</v>
      </c>
      <c r="R14" s="17">
        <f t="shared" si="1"/>
        <v>0</v>
      </c>
    </row>
    <row r="15" spans="1:18" ht="15.75" x14ac:dyDescent="0.25">
      <c r="A15" s="14">
        <v>14</v>
      </c>
      <c r="B15" s="14" t="s">
        <v>54</v>
      </c>
      <c r="C15" s="18">
        <v>10</v>
      </c>
      <c r="D15" s="15">
        <v>18</v>
      </c>
      <c r="E15" s="16">
        <v>4</v>
      </c>
      <c r="F15" s="16">
        <v>5</v>
      </c>
      <c r="G15" s="16">
        <v>10</v>
      </c>
      <c r="H15" s="16">
        <v>13</v>
      </c>
      <c r="I15" s="16">
        <v>8</v>
      </c>
      <c r="J15" s="16">
        <v>19</v>
      </c>
      <c r="K15" s="16">
        <v>10</v>
      </c>
      <c r="L15" s="16">
        <v>2</v>
      </c>
      <c r="M15" s="16">
        <v>6</v>
      </c>
      <c r="N15" s="16">
        <v>15</v>
      </c>
      <c r="O15" s="16">
        <v>16</v>
      </c>
      <c r="P15" s="16">
        <v>6</v>
      </c>
      <c r="Q15" s="17">
        <f t="shared" si="0"/>
        <v>142</v>
      </c>
      <c r="R15" s="17">
        <f t="shared" si="1"/>
        <v>10.142857142857142</v>
      </c>
    </row>
    <row r="16" spans="1:18" ht="15.75" x14ac:dyDescent="0.25">
      <c r="A16" s="7"/>
      <c r="B16" s="7"/>
      <c r="C16" s="7"/>
      <c r="D16" s="1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CHUKS USER</dc:creator>
  <cp:lastModifiedBy>CHUKZ</cp:lastModifiedBy>
  <cp:lastPrinted>2021-05-20T12:26:27Z</cp:lastPrinted>
  <dcterms:created xsi:type="dcterms:W3CDTF">2016-11-03T07:28:12Z</dcterms:created>
  <dcterms:modified xsi:type="dcterms:W3CDTF">2021-08-12T07:32:24Z</dcterms:modified>
</cp:coreProperties>
</file>